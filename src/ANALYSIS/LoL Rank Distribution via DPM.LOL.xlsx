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PC\Desktop\github\riotdev\src\ANALYSIS\"/>
    </mc:Choice>
  </mc:AlternateContent>
  <xr:revisionPtr revIDLastSave="0" documentId="13_ncr:1_{B53C2A8D-AA8C-4441-B7EF-161606B09EC6}" xr6:coauthVersionLast="47" xr6:coauthVersionMax="47" xr10:uidLastSave="{00000000-0000-0000-0000-000000000000}"/>
  <bookViews>
    <workbookView xWindow="-120" yWindow="-120" windowWidth="29040" windowHeight="15840" activeTab="1" xr2:uid="{A0029291-6BCC-4475-BEED-018B6CE89298}"/>
  </bookViews>
  <sheets>
    <sheet name="Server_sampling" sheetId="7" r:id="rId1"/>
    <sheet name="EUW" sheetId="3" r:id="rId2"/>
    <sheet name="KR" sheetId="5" r:id="rId3"/>
    <sheet name="NA" sheetId="6" r:id="rId4"/>
    <sheet name="EUNE" sheetId="4" r:id="rId5"/>
    <sheet name="BR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9" i="2" l="1"/>
  <c r="P19" i="2" s="1"/>
  <c r="O18" i="2"/>
  <c r="P18" i="2" s="1"/>
  <c r="O17" i="2"/>
  <c r="P17" i="2" s="1"/>
  <c r="Q17" i="2" s="1"/>
  <c r="O16" i="2"/>
  <c r="P16" i="2" s="1"/>
  <c r="Q16" i="2" s="1"/>
  <c r="P15" i="2"/>
  <c r="Q15" i="2" s="1"/>
  <c r="O15" i="2"/>
  <c r="O14" i="2"/>
  <c r="P14" i="2" s="1"/>
  <c r="Q14" i="2" s="1"/>
  <c r="O13" i="2"/>
  <c r="P13" i="2" s="1"/>
  <c r="Q13" i="2" s="1"/>
  <c r="O12" i="2"/>
  <c r="P12" i="2" s="1"/>
  <c r="Q12" i="2" s="1"/>
  <c r="P11" i="2"/>
  <c r="Q11" i="2" s="1"/>
  <c r="O11" i="2"/>
  <c r="O10" i="2"/>
  <c r="P10" i="2" s="1"/>
  <c r="Q10" i="2" s="1"/>
  <c r="O19" i="4"/>
  <c r="P19" i="4" s="1"/>
  <c r="O18" i="4"/>
  <c r="P18" i="4" s="1"/>
  <c r="P17" i="4"/>
  <c r="Q17" i="4" s="1"/>
  <c r="O17" i="4"/>
  <c r="O16" i="4"/>
  <c r="P16" i="4" s="1"/>
  <c r="Q16" i="4" s="1"/>
  <c r="P15" i="4"/>
  <c r="Q15" i="4" s="1"/>
  <c r="O15" i="4"/>
  <c r="O14" i="4"/>
  <c r="P14" i="4" s="1"/>
  <c r="Q14" i="4" s="1"/>
  <c r="O13" i="4"/>
  <c r="P13" i="4" s="1"/>
  <c r="Q13" i="4" s="1"/>
  <c r="O12" i="4"/>
  <c r="P12" i="4" s="1"/>
  <c r="Q12" i="4" s="1"/>
  <c r="P11" i="4"/>
  <c r="Q11" i="4" s="1"/>
  <c r="O11" i="4"/>
  <c r="O10" i="4"/>
  <c r="P10" i="4" s="1"/>
  <c r="Q10" i="4" s="1"/>
  <c r="O19" i="6"/>
  <c r="P19" i="6" s="1"/>
  <c r="O18" i="6"/>
  <c r="P18" i="6" s="1"/>
  <c r="O17" i="6"/>
  <c r="P17" i="6" s="1"/>
  <c r="Q17" i="6" s="1"/>
  <c r="O16" i="6"/>
  <c r="P16" i="6" s="1"/>
  <c r="Q16" i="6" s="1"/>
  <c r="O15" i="6"/>
  <c r="P15" i="6" s="1"/>
  <c r="Q15" i="6" s="1"/>
  <c r="O14" i="6"/>
  <c r="P14" i="6" s="1"/>
  <c r="Q14" i="6" s="1"/>
  <c r="O13" i="6"/>
  <c r="P13" i="6" s="1"/>
  <c r="Q13" i="6" s="1"/>
  <c r="O12" i="6"/>
  <c r="P12" i="6" s="1"/>
  <c r="Q12" i="6" s="1"/>
  <c r="P11" i="6"/>
  <c r="Q11" i="6" s="1"/>
  <c r="O11" i="6"/>
  <c r="O10" i="6"/>
  <c r="P10" i="6" s="1"/>
  <c r="Q10" i="6" s="1"/>
  <c r="O16" i="3"/>
  <c r="O15" i="3"/>
  <c r="O14" i="3"/>
  <c r="O13" i="3"/>
  <c r="O12" i="3"/>
  <c r="O11" i="3"/>
  <c r="O19" i="3"/>
  <c r="P19" i="3" s="1"/>
  <c r="O18" i="3"/>
  <c r="P18" i="3" s="1"/>
  <c r="O17" i="3"/>
  <c r="P17" i="3" s="1"/>
  <c r="Q17" i="3" s="1"/>
  <c r="P16" i="3"/>
  <c r="Q16" i="3" s="1"/>
  <c r="P15" i="3"/>
  <c r="Q15" i="3" s="1"/>
  <c r="P14" i="3"/>
  <c r="Q14" i="3" s="1"/>
  <c r="P13" i="3"/>
  <c r="Q13" i="3" s="1"/>
  <c r="P12" i="3"/>
  <c r="Q12" i="3" s="1"/>
  <c r="P11" i="3"/>
  <c r="Q11" i="3" s="1"/>
  <c r="O10" i="3"/>
  <c r="P10" i="3" s="1"/>
  <c r="Q10" i="3" s="1"/>
  <c r="P10" i="5"/>
  <c r="Q10" i="5" s="1"/>
  <c r="P11" i="5"/>
  <c r="P12" i="5"/>
  <c r="P13" i="5"/>
  <c r="P14" i="5"/>
  <c r="Q14" i="5" s="1"/>
  <c r="P15" i="5"/>
  <c r="Q15" i="5" s="1"/>
  <c r="P16" i="5"/>
  <c r="P17" i="5"/>
  <c r="P18" i="5"/>
  <c r="P19" i="5"/>
  <c r="Q11" i="5"/>
  <c r="Q12" i="5"/>
  <c r="Q13" i="5"/>
  <c r="Q16" i="5"/>
  <c r="Q17" i="5"/>
  <c r="O19" i="5"/>
  <c r="O18" i="5"/>
  <c r="O17" i="5"/>
  <c r="O16" i="5"/>
  <c r="O15" i="5"/>
  <c r="O14" i="5"/>
  <c r="O13" i="5"/>
  <c r="O12" i="5"/>
  <c r="O11" i="5"/>
  <c r="O10" i="5"/>
  <c r="R10" i="2" l="1"/>
  <c r="R10" i="4"/>
  <c r="R10" i="6"/>
  <c r="R10" i="3"/>
  <c r="R10" i="5"/>
</calcChain>
</file>

<file path=xl/sharedStrings.xml><?xml version="1.0" encoding="utf-8"?>
<sst xmlns="http://schemas.openxmlformats.org/spreadsheetml/2006/main" count="1653" uniqueCount="608">
  <si>
    <t>Tier</t>
  </si>
  <si>
    <t>Tier %</t>
  </si>
  <si>
    <t>Rank</t>
  </si>
  <si>
    <t>Players</t>
  </si>
  <si>
    <t>Avg Games</t>
  </si>
  <si>
    <t>Avg WR</t>
  </si>
  <si>
    <t>Rank %</t>
  </si>
  <si>
    <t>Top %</t>
  </si>
  <si>
    <t>Iron</t>
  </si>
  <si>
    <t>IV</t>
  </si>
  <si>
    <t>3.0K</t>
  </si>
  <si>
    <t>141.2</t>
  </si>
  <si>
    <t>37.7%</t>
  </si>
  <si>
    <t>0.29%</t>
  </si>
  <si>
    <t>100.0%</t>
  </si>
  <si>
    <t>—</t>
  </si>
  <si>
    <t>III</t>
  </si>
  <si>
    <t>3.6K</t>
  </si>
  <si>
    <t>114.9</t>
  </si>
  <si>
    <t>40.4%</t>
  </si>
  <si>
    <t>0.34%</t>
  </si>
  <si>
    <t>99.7%</t>
  </si>
  <si>
    <t>II</t>
  </si>
  <si>
    <t>7.9K</t>
  </si>
  <si>
    <t>88.8</t>
  </si>
  <si>
    <t>41.8%</t>
  </si>
  <si>
    <t>0.75%</t>
  </si>
  <si>
    <t>99.4%</t>
  </si>
  <si>
    <t>I</t>
  </si>
  <si>
    <t>15K</t>
  </si>
  <si>
    <t>56.1</t>
  </si>
  <si>
    <t>42.8%</t>
  </si>
  <si>
    <t>1.5%</t>
  </si>
  <si>
    <t>98.6%</t>
  </si>
  <si>
    <t>Total</t>
  </si>
  <si>
    <t>30K</t>
  </si>
  <si>
    <t>2.8%</t>
  </si>
  <si>
    <t>Bronze</t>
  </si>
  <si>
    <t>44K</t>
  </si>
  <si>
    <t>49.6</t>
  </si>
  <si>
    <t>44.0%</t>
  </si>
  <si>
    <t>4.2%</t>
  </si>
  <si>
    <t>97.2%</t>
  </si>
  <si>
    <t>38K</t>
  </si>
  <si>
    <t>65.9</t>
  </si>
  <si>
    <t>46.2%</t>
  </si>
  <si>
    <t>3.6%</t>
  </si>
  <si>
    <t>93.0%</t>
  </si>
  <si>
    <t>42K</t>
  </si>
  <si>
    <t>72.8</t>
  </si>
  <si>
    <t>46.8%</t>
  </si>
  <si>
    <t>3.9%</t>
  </si>
  <si>
    <t>89.3%</t>
  </si>
  <si>
    <t>46K</t>
  </si>
  <si>
    <t>77.5</t>
  </si>
  <si>
    <t>47.8%</t>
  </si>
  <si>
    <t>4.4%</t>
  </si>
  <si>
    <t>85.4%</t>
  </si>
  <si>
    <t>170K</t>
  </si>
  <si>
    <t>16.1%</t>
  </si>
  <si>
    <t>Silver</t>
  </si>
  <si>
    <t>50K</t>
  </si>
  <si>
    <t>55.7</t>
  </si>
  <si>
    <t>47.1%</t>
  </si>
  <si>
    <t>4.8%</t>
  </si>
  <si>
    <t>81.1%</t>
  </si>
  <si>
    <t>65K</t>
  </si>
  <si>
    <t>95.1</t>
  </si>
  <si>
    <t>48.2%</t>
  </si>
  <si>
    <t>6.2%</t>
  </si>
  <si>
    <t>76.3%</t>
  </si>
  <si>
    <t>60K</t>
  </si>
  <si>
    <t>88.0</t>
  </si>
  <si>
    <t>48.5%</t>
  </si>
  <si>
    <t>5.7%</t>
  </si>
  <si>
    <t>70.1%</t>
  </si>
  <si>
    <t>66K</t>
  </si>
  <si>
    <t>98.5</t>
  </si>
  <si>
    <t>49.1%</t>
  </si>
  <si>
    <t>6.3%</t>
  </si>
  <si>
    <t>64.4%</t>
  </si>
  <si>
    <t>241K</t>
  </si>
  <si>
    <t>22.9%</t>
  </si>
  <si>
    <t>Gold</t>
  </si>
  <si>
    <t>67K</t>
  </si>
  <si>
    <t>75.2</t>
  </si>
  <si>
    <t>58.2%</t>
  </si>
  <si>
    <t>96.2</t>
  </si>
  <si>
    <t>49.3%</t>
  </si>
  <si>
    <t>51.9%</t>
  </si>
  <si>
    <t>123.8</t>
  </si>
  <si>
    <t>49.6%</t>
  </si>
  <si>
    <t>55K</t>
  </si>
  <si>
    <t>122.5</t>
  </si>
  <si>
    <t>50.1%</t>
  </si>
  <si>
    <t>5.2%</t>
  </si>
  <si>
    <t>39.9%</t>
  </si>
  <si>
    <t>248K</t>
  </si>
  <si>
    <t>23.5%</t>
  </si>
  <si>
    <t>Platinum</t>
  </si>
  <si>
    <t>54K</t>
  </si>
  <si>
    <t>96.7</t>
  </si>
  <si>
    <t>50.3%</t>
  </si>
  <si>
    <t>5.1%</t>
  </si>
  <si>
    <t>34.7%</t>
  </si>
  <si>
    <t>144.0</t>
  </si>
  <si>
    <t>29.6%</t>
  </si>
  <si>
    <t>41K</t>
  </si>
  <si>
    <t>138.1</t>
  </si>
  <si>
    <t>50.5%</t>
  </si>
  <si>
    <t>23.9%</t>
  </si>
  <si>
    <t>28K</t>
  </si>
  <si>
    <t>147.1</t>
  </si>
  <si>
    <t>50.6%</t>
  </si>
  <si>
    <t>2.7%</t>
  </si>
  <si>
    <t>20.0%</t>
  </si>
  <si>
    <t>183K</t>
  </si>
  <si>
    <t>17.3%</t>
  </si>
  <si>
    <t>Emerald</t>
  </si>
  <si>
    <t>53K</t>
  </si>
  <si>
    <t>154.8</t>
  </si>
  <si>
    <t>50.9%</t>
  </si>
  <si>
    <t>5.0%</t>
  </si>
  <si>
    <t>17.4%</t>
  </si>
  <si>
    <t>29K</t>
  </si>
  <si>
    <t>162.1</t>
  </si>
  <si>
    <t>51.1%</t>
  </si>
  <si>
    <t>12.3%</t>
  </si>
  <si>
    <t>21K</t>
  </si>
  <si>
    <t>166.4</t>
  </si>
  <si>
    <t>51.2%</t>
  </si>
  <si>
    <t>2.0%</t>
  </si>
  <si>
    <t>9.5%</t>
  </si>
  <si>
    <t>135.8</t>
  </si>
  <si>
    <t>52.2%</t>
  </si>
  <si>
    <t>2.9%</t>
  </si>
  <si>
    <t>7.5%</t>
  </si>
  <si>
    <t>134K</t>
  </si>
  <si>
    <t>12.7%</t>
  </si>
  <si>
    <t>Diamond</t>
  </si>
  <si>
    <t>16K</t>
  </si>
  <si>
    <t>204.8</t>
  </si>
  <si>
    <t>51.6%</t>
  </si>
  <si>
    <t>4.6%</t>
  </si>
  <si>
    <t>7.0K</t>
  </si>
  <si>
    <t>240.2</t>
  </si>
  <si>
    <t>51.3%</t>
  </si>
  <si>
    <t>0.66%</t>
  </si>
  <si>
    <t>3.1%</t>
  </si>
  <si>
    <t>11K</t>
  </si>
  <si>
    <t>213.9</t>
  </si>
  <si>
    <t>52.1%</t>
  </si>
  <si>
    <t>1.0%</t>
  </si>
  <si>
    <t>2.4%</t>
  </si>
  <si>
    <t>6.0K</t>
  </si>
  <si>
    <t>239.6</t>
  </si>
  <si>
    <t>0.57%</t>
  </si>
  <si>
    <t>1.4%</t>
  </si>
  <si>
    <t>40K</t>
  </si>
  <si>
    <t>3.8%</t>
  </si>
  <si>
    <t>Master</t>
  </si>
  <si>
    <t>All</t>
  </si>
  <si>
    <t>8.1K</t>
  </si>
  <si>
    <t>349.5</t>
  </si>
  <si>
    <t>52.0%</t>
  </si>
  <si>
    <t>0.77%</t>
  </si>
  <si>
    <t>0.83%</t>
  </si>
  <si>
    <t>Grandmaster</t>
  </si>
  <si>
    <t>585.4</t>
  </si>
  <si>
    <t>54.0%</t>
  </si>
  <si>
    <t>0.05%</t>
  </si>
  <si>
    <t>0.07%</t>
  </si>
  <si>
    <t>Challenger</t>
  </si>
  <si>
    <t>709.3</t>
  </si>
  <si>
    <t>55.6%</t>
  </si>
  <si>
    <t>0.02%</t>
  </si>
  <si>
    <t>13K</t>
  </si>
  <si>
    <t>128.9</t>
  </si>
  <si>
    <t>37.9%</t>
  </si>
  <si>
    <t>0.42%</t>
  </si>
  <si>
    <t>109.2</t>
  </si>
  <si>
    <t>41.0%</t>
  </si>
  <si>
    <t>0.43%</t>
  </si>
  <si>
    <t>99.6%</t>
  </si>
  <si>
    <t>85.2</t>
  </si>
  <si>
    <t>42.3%</t>
  </si>
  <si>
    <t>0.90%</t>
  </si>
  <si>
    <t>99.2%</t>
  </si>
  <si>
    <t>61.2</t>
  </si>
  <si>
    <t>43.9%</t>
  </si>
  <si>
    <t>1.7%</t>
  </si>
  <si>
    <t>98.3%</t>
  </si>
  <si>
    <t>107K</t>
  </si>
  <si>
    <t>3.4%</t>
  </si>
  <si>
    <t>127K</t>
  </si>
  <si>
    <t>53.5</t>
  </si>
  <si>
    <t>44.8%</t>
  </si>
  <si>
    <t>4.1%</t>
  </si>
  <si>
    <t>96.6%</t>
  </si>
  <si>
    <t>112K</t>
  </si>
  <si>
    <t>72.9</t>
  </si>
  <si>
    <t>92.5%</t>
  </si>
  <si>
    <t>121K</t>
  </si>
  <si>
    <t>77.6</t>
  </si>
  <si>
    <t>47.4%</t>
  </si>
  <si>
    <t>88.9%</t>
  </si>
  <si>
    <t>110K</t>
  </si>
  <si>
    <t>74.2</t>
  </si>
  <si>
    <t>48.1%</t>
  </si>
  <si>
    <t>85.0%</t>
  </si>
  <si>
    <t>469K</t>
  </si>
  <si>
    <t>15.1%</t>
  </si>
  <si>
    <t>190K</t>
  </si>
  <si>
    <t>84.4</t>
  </si>
  <si>
    <t>6.1%</t>
  </si>
  <si>
    <t>81.4%</t>
  </si>
  <si>
    <t>167K</t>
  </si>
  <si>
    <t>87.5</t>
  </si>
  <si>
    <t>48.7%</t>
  </si>
  <si>
    <t>5.4%</t>
  </si>
  <si>
    <t>75.3%</t>
  </si>
  <si>
    <t>168K</t>
  </si>
  <si>
    <t>91.6</t>
  </si>
  <si>
    <t>48.9%</t>
  </si>
  <si>
    <t>70.0%</t>
  </si>
  <si>
    <t>139K</t>
  </si>
  <si>
    <t>93.1</t>
  </si>
  <si>
    <t>4.5%</t>
  </si>
  <si>
    <t>64.5%</t>
  </si>
  <si>
    <t>664K</t>
  </si>
  <si>
    <t>21.4%</t>
  </si>
  <si>
    <t>267K</t>
  </si>
  <si>
    <t>100.7</t>
  </si>
  <si>
    <t>8.6%</t>
  </si>
  <si>
    <t>60.1%</t>
  </si>
  <si>
    <t>193K</t>
  </si>
  <si>
    <t>106.0</t>
  </si>
  <si>
    <t>51.5%</t>
  </si>
  <si>
    <t>171K</t>
  </si>
  <si>
    <t>111.8</t>
  </si>
  <si>
    <t>49.9%</t>
  </si>
  <si>
    <t>5.5%</t>
  </si>
  <si>
    <t>45.2%</t>
  </si>
  <si>
    <t>124K</t>
  </si>
  <si>
    <t>116.3</t>
  </si>
  <si>
    <t>50.2%</t>
  </si>
  <si>
    <t>4.0%</t>
  </si>
  <si>
    <t>39.7%</t>
  </si>
  <si>
    <t>756K</t>
  </si>
  <si>
    <t>24.3%</t>
  </si>
  <si>
    <t>229K</t>
  </si>
  <si>
    <t>127.4</t>
  </si>
  <si>
    <t>7.4%</t>
  </si>
  <si>
    <t>35.7%</t>
  </si>
  <si>
    <t>143K</t>
  </si>
  <si>
    <t>134.5</t>
  </si>
  <si>
    <t>28.3%</t>
  </si>
  <si>
    <t>116K</t>
  </si>
  <si>
    <t>142.9</t>
  </si>
  <si>
    <t>50.7%</t>
  </si>
  <si>
    <t>23.7%</t>
  </si>
  <si>
    <t>83K</t>
  </si>
  <si>
    <t>153.1</t>
  </si>
  <si>
    <t>50.8%</t>
  </si>
  <si>
    <t>571K</t>
  </si>
  <si>
    <t>18.4%</t>
  </si>
  <si>
    <t>155K</t>
  </si>
  <si>
    <t>162.6</t>
  </si>
  <si>
    <t>80K</t>
  </si>
  <si>
    <t>171.1</t>
  </si>
  <si>
    <t>2.6%</t>
  </si>
  <si>
    <t>68K</t>
  </si>
  <si>
    <t>177.5</t>
  </si>
  <si>
    <t>2.2%</t>
  </si>
  <si>
    <t>9.7%</t>
  </si>
  <si>
    <t>62K</t>
  </si>
  <si>
    <t>7.6%</t>
  </si>
  <si>
    <t>365K</t>
  </si>
  <si>
    <t>11.8%</t>
  </si>
  <si>
    <t>199.6</t>
  </si>
  <si>
    <t>5.6%</t>
  </si>
  <si>
    <t>22K</t>
  </si>
  <si>
    <t>249.3</t>
  </si>
  <si>
    <t>51.4%</t>
  </si>
  <si>
    <t>0.70%</t>
  </si>
  <si>
    <t>34K</t>
  </si>
  <si>
    <t>221.0</t>
  </si>
  <si>
    <t>1.1%</t>
  </si>
  <si>
    <t>254.8</t>
  </si>
  <si>
    <t>0.67%</t>
  </si>
  <si>
    <t>1.6%</t>
  </si>
  <si>
    <t>144K</t>
  </si>
  <si>
    <t>383.4</t>
  </si>
  <si>
    <t>0.89%</t>
  </si>
  <si>
    <t>0.93%</t>
  </si>
  <si>
    <t>725.5</t>
  </si>
  <si>
    <t>0.03%</t>
  </si>
  <si>
    <t>869.8</t>
  </si>
  <si>
    <t>54.9%</t>
  </si>
  <si>
    <t>&lt;0.01%</t>
  </si>
  <si>
    <t>9.2K</t>
  </si>
  <si>
    <t>131.7</t>
  </si>
  <si>
    <t>37.8%</t>
  </si>
  <si>
    <t>0.35%</t>
  </si>
  <si>
    <t>10K</t>
  </si>
  <si>
    <t>113.1</t>
  </si>
  <si>
    <t>0.39%</t>
  </si>
  <si>
    <t>23K</t>
  </si>
  <si>
    <t>86.2</t>
  </si>
  <si>
    <t>42.2%</t>
  </si>
  <si>
    <t>0.87%</t>
  </si>
  <si>
    <t>99.3%</t>
  </si>
  <si>
    <t>61K</t>
  </si>
  <si>
    <t>80.8</t>
  </si>
  <si>
    <t>2.3%</t>
  </si>
  <si>
    <t>98.4%</t>
  </si>
  <si>
    <t>104K</t>
  </si>
  <si>
    <t>105K</t>
  </si>
  <si>
    <t>34.6</t>
  </si>
  <si>
    <t>96.0%</t>
  </si>
  <si>
    <t>93K</t>
  </si>
  <si>
    <t>52.6</t>
  </si>
  <si>
    <t>46.7%</t>
  </si>
  <si>
    <t>3.5%</t>
  </si>
  <si>
    <t>92.0%</t>
  </si>
  <si>
    <t>101K</t>
  </si>
  <si>
    <t>62.6</t>
  </si>
  <si>
    <t>47.3%</t>
  </si>
  <si>
    <t>88.5%</t>
  </si>
  <si>
    <t>97K</t>
  </si>
  <si>
    <t>58.8</t>
  </si>
  <si>
    <t>48.0%</t>
  </si>
  <si>
    <t>3.7%</t>
  </si>
  <si>
    <t>84.7%</t>
  </si>
  <si>
    <t>395K</t>
  </si>
  <si>
    <t>69.7</t>
  </si>
  <si>
    <t>6.4%</t>
  </si>
  <si>
    <t>81.0%</t>
  </si>
  <si>
    <t>146K</t>
  </si>
  <si>
    <t>72.6</t>
  </si>
  <si>
    <t>74.6%</t>
  </si>
  <si>
    <t>145K</t>
  </si>
  <si>
    <t>75.1</t>
  </si>
  <si>
    <t>69.0%</t>
  </si>
  <si>
    <t>118K</t>
  </si>
  <si>
    <t>73.6</t>
  </si>
  <si>
    <t>49.2%</t>
  </si>
  <si>
    <t>63.5%</t>
  </si>
  <si>
    <t>577K</t>
  </si>
  <si>
    <t>22.0%</t>
  </si>
  <si>
    <t>222K</t>
  </si>
  <si>
    <t>85.6</t>
  </si>
  <si>
    <t>49.5%</t>
  </si>
  <si>
    <t>8.5%</t>
  </si>
  <si>
    <t>59.0%</t>
  </si>
  <si>
    <t>158K</t>
  </si>
  <si>
    <t>88.6</t>
  </si>
  <si>
    <t>49.7%</t>
  </si>
  <si>
    <t>6.0%</t>
  </si>
  <si>
    <t>141K</t>
  </si>
  <si>
    <t>91.1</t>
  </si>
  <si>
    <t>44.5%</t>
  </si>
  <si>
    <t>100K</t>
  </si>
  <si>
    <t>92.5</t>
  </si>
  <si>
    <t>39.1%</t>
  </si>
  <si>
    <t>621K</t>
  </si>
  <si>
    <t>105.8</t>
  </si>
  <si>
    <t>7.3%</t>
  </si>
  <si>
    <t>35.3%</t>
  </si>
  <si>
    <t>117K</t>
  </si>
  <si>
    <t>109.8</t>
  </si>
  <si>
    <t>28.0%</t>
  </si>
  <si>
    <t>94K</t>
  </si>
  <si>
    <t>116.5</t>
  </si>
  <si>
    <t>121.3</t>
  </si>
  <si>
    <t>51.0%</t>
  </si>
  <si>
    <t>19.9%</t>
  </si>
  <si>
    <t>465K</t>
  </si>
  <si>
    <t>17.7%</t>
  </si>
  <si>
    <t>131.4</t>
  </si>
  <si>
    <t>17.6%</t>
  </si>
  <si>
    <t>47K</t>
  </si>
  <si>
    <t>129.1</t>
  </si>
  <si>
    <t>1.8%</t>
  </si>
  <si>
    <t>13.1%</t>
  </si>
  <si>
    <t>189.8</t>
  </si>
  <si>
    <t>11.3%</t>
  </si>
  <si>
    <t>53.2%</t>
  </si>
  <si>
    <t>7.8%</t>
  </si>
  <si>
    <t>298K</t>
  </si>
  <si>
    <t>11.4%</t>
  </si>
  <si>
    <t>52.3%</t>
  </si>
  <si>
    <t>17K</t>
  </si>
  <si>
    <t>216.9</t>
  </si>
  <si>
    <t>207.9</t>
  </si>
  <si>
    <t>52.4%</t>
  </si>
  <si>
    <t>3.0%</t>
  </si>
  <si>
    <t>243.3</t>
  </si>
  <si>
    <t>138K</t>
  </si>
  <si>
    <t>5.3%</t>
  </si>
  <si>
    <t>380.3</t>
  </si>
  <si>
    <t>615.6</t>
  </si>
  <si>
    <t>53.5%</t>
  </si>
  <si>
    <t>0.04%</t>
  </si>
  <si>
    <t>702.0</t>
  </si>
  <si>
    <t>53.9%</t>
  </si>
  <si>
    <t>0.01%</t>
  </si>
  <si>
    <t>6.1K</t>
  </si>
  <si>
    <t>126.1</t>
  </si>
  <si>
    <t>0.44%</t>
  </si>
  <si>
    <t>110.6</t>
  </si>
  <si>
    <t>41.1%</t>
  </si>
  <si>
    <t>80.1</t>
  </si>
  <si>
    <t>42.1%</t>
  </si>
  <si>
    <t>0.94%</t>
  </si>
  <si>
    <t>99.1%</t>
  </si>
  <si>
    <t>27K</t>
  </si>
  <si>
    <t>55.3</t>
  </si>
  <si>
    <t>98.2%</t>
  </si>
  <si>
    <t>52K</t>
  </si>
  <si>
    <t>59K</t>
  </si>
  <si>
    <t>42.4</t>
  </si>
  <si>
    <t>44.4%</t>
  </si>
  <si>
    <t>4.3%</t>
  </si>
  <si>
    <t>96.2%</t>
  </si>
  <si>
    <t>73.5</t>
  </si>
  <si>
    <t>46.9%</t>
  </si>
  <si>
    <t>91.9%</t>
  </si>
  <si>
    <t>58K</t>
  </si>
  <si>
    <t>74.4</t>
  </si>
  <si>
    <t>47.5%</t>
  </si>
  <si>
    <t>87.7%</t>
  </si>
  <si>
    <t>48.3%</t>
  </si>
  <si>
    <t>83.4%</t>
  </si>
  <si>
    <t>237K</t>
  </si>
  <si>
    <t>82K</t>
  </si>
  <si>
    <t>74.5</t>
  </si>
  <si>
    <t>78.9%</t>
  </si>
  <si>
    <t>73K</t>
  </si>
  <si>
    <t>83.3</t>
  </si>
  <si>
    <t>48.8%</t>
  </si>
  <si>
    <t>73.0%</t>
  </si>
  <si>
    <t>83.7</t>
  </si>
  <si>
    <t>49.0%</t>
  </si>
  <si>
    <t>4.7%</t>
  </si>
  <si>
    <t>67.6%</t>
  </si>
  <si>
    <t>100.3</t>
  </si>
  <si>
    <t>49.4%</t>
  </si>
  <si>
    <t>5.9%</t>
  </si>
  <si>
    <t>62.9%</t>
  </si>
  <si>
    <t>301K</t>
  </si>
  <si>
    <t>111K</t>
  </si>
  <si>
    <t>91.2</t>
  </si>
  <si>
    <t>8.1%</t>
  </si>
  <si>
    <t>57.0%</t>
  </si>
  <si>
    <t>81K</t>
  </si>
  <si>
    <t>103.4</t>
  </si>
  <si>
    <t>49.8%</t>
  </si>
  <si>
    <t>64K</t>
  </si>
  <si>
    <t>104.4</t>
  </si>
  <si>
    <t>50.0%</t>
  </si>
  <si>
    <t>43.0%</t>
  </si>
  <si>
    <t>69K</t>
  </si>
  <si>
    <t>124.2</t>
  </si>
  <si>
    <t>38.3%</t>
  </si>
  <si>
    <t>325K</t>
  </si>
  <si>
    <t>84K</t>
  </si>
  <si>
    <t>115.3</t>
  </si>
  <si>
    <t>33.3%</t>
  </si>
  <si>
    <t>140.0</t>
  </si>
  <si>
    <t>27.2%</t>
  </si>
  <si>
    <t>139.7</t>
  </si>
  <si>
    <t>22.2%</t>
  </si>
  <si>
    <t>37K</t>
  </si>
  <si>
    <t>151.2</t>
  </si>
  <si>
    <t>18.6%</t>
  </si>
  <si>
    <t>239K</t>
  </si>
  <si>
    <t>152.2</t>
  </si>
  <si>
    <t>15.9%</t>
  </si>
  <si>
    <t>175.3</t>
  </si>
  <si>
    <t>11.5%</t>
  </si>
  <si>
    <t>25K</t>
  </si>
  <si>
    <t>173.3</t>
  </si>
  <si>
    <t>8.8%</t>
  </si>
  <si>
    <t>140.7</t>
  </si>
  <si>
    <t>6.9%</t>
  </si>
  <si>
    <t>156K</t>
  </si>
  <si>
    <t>20K</t>
  </si>
  <si>
    <t>214.8</t>
  </si>
  <si>
    <t>51.7%</t>
  </si>
  <si>
    <t>8.6K</t>
  </si>
  <si>
    <t>240.4</t>
  </si>
  <si>
    <t>0.62%</t>
  </si>
  <si>
    <t>14K</t>
  </si>
  <si>
    <t>222.1</t>
  </si>
  <si>
    <t>0.99%</t>
  </si>
  <si>
    <t>247.1</t>
  </si>
  <si>
    <t>51K</t>
  </si>
  <si>
    <t>352.2</t>
  </si>
  <si>
    <t>0.74%</t>
  </si>
  <si>
    <t>0.82%</t>
  </si>
  <si>
    <t>554.3</t>
  </si>
  <si>
    <t>53.3%</t>
  </si>
  <si>
    <t>0.08%</t>
  </si>
  <si>
    <t>630.5</t>
  </si>
  <si>
    <t>4.6K</t>
  </si>
  <si>
    <t>119.4</t>
  </si>
  <si>
    <t>37.2%</t>
  </si>
  <si>
    <t>5.6K</t>
  </si>
  <si>
    <t>100.9</t>
  </si>
  <si>
    <t>40.2%</t>
  </si>
  <si>
    <t>0.41%</t>
  </si>
  <si>
    <t>12K</t>
  </si>
  <si>
    <t>75.5</t>
  </si>
  <si>
    <t>41.3%</t>
  </si>
  <si>
    <t>0.91%</t>
  </si>
  <si>
    <t>48.2</t>
  </si>
  <si>
    <t>42.6%</t>
  </si>
  <si>
    <t>46.3</t>
  </si>
  <si>
    <t>60.6</t>
  </si>
  <si>
    <t>46.1%</t>
  </si>
  <si>
    <t>56K</t>
  </si>
  <si>
    <t>67.5</t>
  </si>
  <si>
    <t>88.2%</t>
  </si>
  <si>
    <t>71.6</t>
  </si>
  <si>
    <t>84.1%</t>
  </si>
  <si>
    <t>235K</t>
  </si>
  <si>
    <t>65.1</t>
  </si>
  <si>
    <t>47.6%</t>
  </si>
  <si>
    <t>79.3%</t>
  </si>
  <si>
    <t>74.7</t>
  </si>
  <si>
    <t>73.9%</t>
  </si>
  <si>
    <t>77.4</t>
  </si>
  <si>
    <t>48.6%</t>
  </si>
  <si>
    <t>69.1%</t>
  </si>
  <si>
    <t>88K</t>
  </si>
  <si>
    <t>109.5</t>
  </si>
  <si>
    <t>6.5%</t>
  </si>
  <si>
    <t>64.9%</t>
  </si>
  <si>
    <t>282K</t>
  </si>
  <si>
    <t>20.9%</t>
  </si>
  <si>
    <t>99K</t>
  </si>
  <si>
    <t>87.0</t>
  </si>
  <si>
    <t>58.4%</t>
  </si>
  <si>
    <t>75K</t>
  </si>
  <si>
    <t>101.6</t>
  </si>
  <si>
    <t>105.3</t>
  </si>
  <si>
    <t>45.6%</t>
  </si>
  <si>
    <t>77K</t>
  </si>
  <si>
    <t>137.0</t>
  </si>
  <si>
    <t>308K</t>
  </si>
  <si>
    <t>22.8%</t>
  </si>
  <si>
    <t>112.2</t>
  </si>
  <si>
    <t>35.6%</t>
  </si>
  <si>
    <t>74K</t>
  </si>
  <si>
    <t>146.4</t>
  </si>
  <si>
    <t>50.4%</t>
  </si>
  <si>
    <t>29.9%</t>
  </si>
  <si>
    <t>144.3</t>
  </si>
  <si>
    <t>24.5%</t>
  </si>
  <si>
    <t>157.9</t>
  </si>
  <si>
    <t>3.3%</t>
  </si>
  <si>
    <t>20.6%</t>
  </si>
  <si>
    <t>18.3%</t>
  </si>
  <si>
    <t>149.5</t>
  </si>
  <si>
    <t>45K</t>
  </si>
  <si>
    <t>180.2</t>
  </si>
  <si>
    <t>177.0</t>
  </si>
  <si>
    <t>9.8%</t>
  </si>
  <si>
    <t>141.6</t>
  </si>
  <si>
    <t>7.7%</t>
  </si>
  <si>
    <t>208.0</t>
  </si>
  <si>
    <t>51.8%</t>
  </si>
  <si>
    <t>9.3K</t>
  </si>
  <si>
    <t>231.9</t>
  </si>
  <si>
    <t>0.69%</t>
  </si>
  <si>
    <t>209.7</t>
  </si>
  <si>
    <t>8.5K</t>
  </si>
  <si>
    <t>236.3</t>
  </si>
  <si>
    <t>0.63%</t>
  </si>
  <si>
    <t>326.8</t>
  </si>
  <si>
    <t>0.81%</t>
  </si>
  <si>
    <t>0.86%</t>
  </si>
  <si>
    <t>502.7</t>
  </si>
  <si>
    <t>54.3%</t>
  </si>
  <si>
    <t>549.8</t>
  </si>
  <si>
    <t>55.7%</t>
  </si>
  <si>
    <t>Server</t>
  </si>
  <si>
    <t>Ranked Players Count</t>
  </si>
  <si>
    <t>% of total players</t>
  </si>
  <si>
    <t>Players subsample size (N=10000)</t>
  </si>
  <si>
    <t>Europe West (EUW)</t>
  </si>
  <si>
    <t>32.66%</t>
  </si>
  <si>
    <t>Korea (KR)</t>
  </si>
  <si>
    <t>27.59%</t>
  </si>
  <si>
    <t>North America (NA)</t>
  </si>
  <si>
    <t>14.44%</t>
  </si>
  <si>
    <t>Europe Nordic &amp; East (EUNE)</t>
  </si>
  <si>
    <t>14.23%</t>
  </si>
  <si>
    <t>Brazil (BR)</t>
  </si>
  <si>
    <t>11.08%</t>
  </si>
  <si>
    <t>Total Players</t>
  </si>
  <si>
    <t>Players_int</t>
  </si>
  <si>
    <t>Amount</t>
  </si>
  <si>
    <t>Subsample Size</t>
  </si>
  <si>
    <t>%</t>
  </si>
  <si>
    <t>Fetch amount</t>
  </si>
  <si>
    <t>Veryfying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</si>
</sst>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.&quot;K&quot;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1C6FD9-1E30-4E28-898D-FB8336AD2AF7}" name="Table14" displayName="Table14" ref="L9:R19" totalsRowShown="0">
  <autoFilter ref="L9:R19" xr:uid="{121C6FD9-1E30-4E28-898D-FB8336AD2AF7}"/>
  <tableColumns count="7">
    <tableColumn id="1" xr3:uid="{2743FD4C-D3D0-4E0C-BBB5-76FF2F804765}" name="Total Players"/>
    <tableColumn id="2" xr3:uid="{027ACD80-2D8F-45DC-BB1E-F3B48A83084C}" name="Subsample Size"/>
    <tableColumn id="3" xr3:uid="{863F5D74-72A6-470D-A96D-14673ACCCFEF}" name="Tier"/>
    <tableColumn id="4" xr3:uid="{7253E19C-8CB6-4910-96EE-75B508160C51}" name="Amount">
      <calculatedColumnFormula>I30</calculatedColumnFormula>
    </tableColumn>
    <tableColumn id="5" xr3:uid="{321DB45C-0D15-47B1-B19B-72BCB1455078}" name="%" dataDxfId="0">
      <calculatedColumnFormula>(O10/$L$10*100)</calculatedColumnFormula>
    </tableColumn>
    <tableColumn id="6" xr3:uid="{7126E4C5-DCAF-43BA-B1F2-F4B5C8F16D7C}" name="Fetch amount"/>
    <tableColumn id="7" xr3:uid="{9E155E1F-7183-46A0-B34A-95CFFF89C34A}" name="Veryfying Sum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04421-A8F4-45D6-9FEE-4D2AA2F44EFA}" name="Table1" displayName="Table1" ref="L9:R19" totalsRowShown="0">
  <autoFilter ref="L9:R19" xr:uid="{1E604421-A8F4-45D6-9FEE-4D2AA2F44EFA}"/>
  <tableColumns count="7">
    <tableColumn id="1" xr3:uid="{212540F7-2F3B-4CEB-B2EE-AB3B017D2868}" name="Total Players"/>
    <tableColumn id="2" xr3:uid="{32305D16-01DC-4663-AE48-632C7DBF3684}" name="Subsample Size"/>
    <tableColumn id="3" xr3:uid="{4A293757-AD77-49F0-897D-C63EE9B913C6}" name="Tier"/>
    <tableColumn id="4" xr3:uid="{E3C604EC-F001-4617-AFA3-15766EEDDF78}" name="Amount">
      <calculatedColumnFormula>I30</calculatedColumnFormula>
    </tableColumn>
    <tableColumn id="5" xr3:uid="{A75305CC-1838-48D2-BB09-F3FA864F5D92}" name="%" dataDxfId="4">
      <calculatedColumnFormula>(O10/$L$10*100)</calculatedColumnFormula>
    </tableColumn>
    <tableColumn id="6" xr3:uid="{29B232FD-1B51-4610-A16A-CE07A56320AF}" name="Fetch amount"/>
    <tableColumn id="7" xr3:uid="{1DB9D58E-2FCD-496F-B0A1-EA8148275400}" name="Veryfying Su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885503-FC17-442D-985E-F9A8EBED5FE8}" name="Table145" displayName="Table145" ref="L9:R19" totalsRowShown="0">
  <autoFilter ref="L9:R19" xr:uid="{83885503-FC17-442D-985E-F9A8EBED5FE8}"/>
  <tableColumns count="7">
    <tableColumn id="1" xr3:uid="{453A9143-748A-4012-A9A9-129439548D72}" name="Total Players"/>
    <tableColumn id="2" xr3:uid="{44F36F2D-3B10-4C2D-9BCD-B3968FBB79F9}" name="Subsample Size"/>
    <tableColumn id="3" xr3:uid="{045F7780-F09E-4A11-ABA6-E3EEE94DC468}" name="Tier"/>
    <tableColumn id="4" xr3:uid="{82900B8D-8D90-4B9A-86C7-B8CA92859808}" name="Amount">
      <calculatedColumnFormula>I30</calculatedColumnFormula>
    </tableColumn>
    <tableColumn id="5" xr3:uid="{34769021-C164-4382-82C5-16F0A20A9E2B}" name="%" dataDxfId="3">
      <calculatedColumnFormula>(O10/$L$10*100)</calculatedColumnFormula>
    </tableColumn>
    <tableColumn id="6" xr3:uid="{92057921-7202-4155-A3DC-2E13A232A4A7}" name="Fetch amount"/>
    <tableColumn id="7" xr3:uid="{033A8E33-428A-449A-BD38-12061E458970}" name="Veryfying Sum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4B49C1-08C2-4741-98FC-7FB837661774}" name="Table1456" displayName="Table1456" ref="L9:R19" totalsRowShown="0">
  <autoFilter ref="L9:R19" xr:uid="{734B49C1-08C2-4741-98FC-7FB837661774}"/>
  <tableColumns count="7">
    <tableColumn id="1" xr3:uid="{56515342-99BF-47F9-9EF1-9810AD501A9F}" name="Total Players"/>
    <tableColumn id="2" xr3:uid="{02FB1E82-36E6-4D59-8708-10D7A82ABC3F}" name="Subsample Size"/>
    <tableColumn id="3" xr3:uid="{3AD75778-CAAD-43C4-BD35-CB921939DE73}" name="Tier"/>
    <tableColumn id="4" xr3:uid="{8A105A44-B3B8-419F-8B3E-1CB1AE0C6C85}" name="Amount">
      <calculatedColumnFormula>I30</calculatedColumnFormula>
    </tableColumn>
    <tableColumn id="5" xr3:uid="{4B52B8BE-0230-4E4B-85B3-1CB310770D9D}" name="%" dataDxfId="2">
      <calculatedColumnFormula>(O10/$L$10*100)</calculatedColumnFormula>
    </tableColumn>
    <tableColumn id="6" xr3:uid="{61145AFE-EEBC-43B5-B245-7F0779585748}" name="Fetch amount"/>
    <tableColumn id="7" xr3:uid="{D3E23C15-B433-47EB-9D3C-8FC1AD281C48}" name="Veryfying Sum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B387AD-F2A0-4049-B89A-0C2F4D395B58}" name="Table14567" displayName="Table14567" ref="L9:R19" totalsRowShown="0">
  <autoFilter ref="L9:R19" xr:uid="{29B387AD-F2A0-4049-B89A-0C2F4D395B58}"/>
  <tableColumns count="7">
    <tableColumn id="1" xr3:uid="{050FB333-6F8E-4B86-B70B-DA53F4AA827F}" name="Total Players"/>
    <tableColumn id="2" xr3:uid="{8064CC0F-530B-416F-B923-34EE52DE8661}" name="Subsample Size"/>
    <tableColumn id="3" xr3:uid="{1F8B0297-40D6-45E3-B153-1022B79780E9}" name="Tier"/>
    <tableColumn id="4" xr3:uid="{FF8A68C3-5811-4ECA-97CE-F0B4A7EB663A}" name="Amount">
      <calculatedColumnFormula>I30</calculatedColumnFormula>
    </tableColumn>
    <tableColumn id="5" xr3:uid="{A65878B4-1590-4844-95F0-53A9CD6A82DD}" name="%" dataDxfId="1">
      <calculatedColumnFormula>(O10/$L$10*100)</calculatedColumnFormula>
    </tableColumn>
    <tableColumn id="6" xr3:uid="{A2B05F9B-3C0D-4515-ABCC-07C1F135992D}" name="Fetch amount"/>
    <tableColumn id="7" xr3:uid="{F962418F-099B-40B1-89B7-97F1471B43AC}" name="Veryfying Su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E0E5-2CBD-41C4-AE88-73D21B904C30}">
  <dimension ref="A1:D6"/>
  <sheetViews>
    <sheetView workbookViewId="0">
      <selection activeCell="B6" sqref="B6"/>
    </sheetView>
  </sheetViews>
  <sheetFormatPr defaultRowHeight="15" x14ac:dyDescent="0.25"/>
  <cols>
    <col min="1" max="1" width="26.5703125" bestFit="1" customWidth="1"/>
    <col min="2" max="2" width="20.28515625" bestFit="1" customWidth="1"/>
    <col min="3" max="3" width="16.140625" bestFit="1" customWidth="1"/>
    <col min="4" max="4" width="31.5703125" bestFit="1" customWidth="1"/>
  </cols>
  <sheetData>
    <row r="1" spans="1:4" x14ac:dyDescent="0.25">
      <c r="A1" t="s">
        <v>587</v>
      </c>
      <c r="B1" t="s">
        <v>588</v>
      </c>
      <c r="C1" t="s">
        <v>589</v>
      </c>
      <c r="D1" t="s">
        <v>590</v>
      </c>
    </row>
    <row r="2" spans="1:4" x14ac:dyDescent="0.25">
      <c r="A2" t="s">
        <v>591</v>
      </c>
      <c r="B2" s="1">
        <v>3104938</v>
      </c>
      <c r="C2" t="s">
        <v>592</v>
      </c>
      <c r="D2">
        <v>3300</v>
      </c>
    </row>
    <row r="3" spans="1:4" x14ac:dyDescent="0.25">
      <c r="A3" t="s">
        <v>593</v>
      </c>
      <c r="B3" s="1">
        <v>2623034</v>
      </c>
      <c r="C3" t="s">
        <v>594</v>
      </c>
      <c r="D3">
        <v>2800</v>
      </c>
    </row>
    <row r="4" spans="1:4" x14ac:dyDescent="0.25">
      <c r="A4" t="s">
        <v>595</v>
      </c>
      <c r="B4" s="1">
        <v>1372532</v>
      </c>
      <c r="C4" t="s">
        <v>596</v>
      </c>
      <c r="D4">
        <v>1400</v>
      </c>
    </row>
    <row r="5" spans="1:4" x14ac:dyDescent="0.25">
      <c r="A5" t="s">
        <v>597</v>
      </c>
      <c r="B5" s="1">
        <v>1352534</v>
      </c>
      <c r="C5" t="s">
        <v>598</v>
      </c>
      <c r="D5">
        <v>1400</v>
      </c>
    </row>
    <row r="6" spans="1:4" x14ac:dyDescent="0.25">
      <c r="A6" t="s">
        <v>599</v>
      </c>
      <c r="B6" s="1">
        <v>1054597</v>
      </c>
      <c r="C6" t="s">
        <v>600</v>
      </c>
      <c r="D6">
        <v>1100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1375-F7AA-4529-BB26-CD3FB78D0B2B}">
  <dimension ref="A1:R39"/>
  <sheetViews>
    <sheetView tabSelected="1" workbookViewId="0">
      <selection activeCell="Q27" sqref="Q27"/>
    </sheetView>
  </sheetViews>
  <sheetFormatPr defaultRowHeight="15" x14ac:dyDescent="0.25"/>
  <cols>
    <col min="12" max="12" width="14.7109375" bestFit="1" customWidth="1"/>
    <col min="13" max="13" width="17.5703125" bestFit="1" customWidth="1"/>
    <col min="14" max="14" width="12.5703125" bestFit="1" customWidth="1"/>
    <col min="15" max="15" width="10.28515625" bestFit="1" customWidth="1"/>
    <col min="17" max="17" width="15.7109375" bestFit="1" customWidth="1"/>
    <col min="18" max="18" width="16.28515625" bestFit="1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602</v>
      </c>
    </row>
    <row r="2" spans="1:18" x14ac:dyDescent="0.25">
      <c r="A2" t="s">
        <v>8</v>
      </c>
      <c r="B2" t="s">
        <v>9</v>
      </c>
      <c r="C2" t="s">
        <v>176</v>
      </c>
      <c r="D2" t="s">
        <v>177</v>
      </c>
      <c r="E2" t="s">
        <v>178</v>
      </c>
      <c r="F2" t="s">
        <v>179</v>
      </c>
      <c r="G2" t="s">
        <v>14</v>
      </c>
      <c r="H2" t="s">
        <v>15</v>
      </c>
      <c r="I2">
        <v>13000</v>
      </c>
    </row>
    <row r="3" spans="1:18" x14ac:dyDescent="0.25">
      <c r="A3" t="s">
        <v>8</v>
      </c>
      <c r="B3" t="s">
        <v>16</v>
      </c>
      <c r="C3" t="s">
        <v>176</v>
      </c>
      <c r="D3" t="s">
        <v>180</v>
      </c>
      <c r="E3" t="s">
        <v>181</v>
      </c>
      <c r="F3" t="s">
        <v>182</v>
      </c>
      <c r="G3" t="s">
        <v>183</v>
      </c>
      <c r="H3" t="s">
        <v>15</v>
      </c>
      <c r="I3">
        <v>13000</v>
      </c>
    </row>
    <row r="4" spans="1:18" x14ac:dyDescent="0.25">
      <c r="A4" t="s">
        <v>8</v>
      </c>
      <c r="B4" t="s">
        <v>22</v>
      </c>
      <c r="C4" t="s">
        <v>111</v>
      </c>
      <c r="D4" t="s">
        <v>184</v>
      </c>
      <c r="E4" t="s">
        <v>185</v>
      </c>
      <c r="F4" t="s">
        <v>186</v>
      </c>
      <c r="G4" t="s">
        <v>187</v>
      </c>
      <c r="H4" t="s">
        <v>15</v>
      </c>
      <c r="I4">
        <v>28000</v>
      </c>
    </row>
    <row r="5" spans="1:18" x14ac:dyDescent="0.25">
      <c r="A5" t="s">
        <v>8</v>
      </c>
      <c r="B5" t="s">
        <v>28</v>
      </c>
      <c r="C5" t="s">
        <v>119</v>
      </c>
      <c r="D5" t="s">
        <v>188</v>
      </c>
      <c r="E5" t="s">
        <v>189</v>
      </c>
      <c r="F5" t="s">
        <v>190</v>
      </c>
      <c r="G5" t="s">
        <v>191</v>
      </c>
      <c r="H5" t="s">
        <v>15</v>
      </c>
      <c r="I5">
        <v>53000</v>
      </c>
    </row>
    <row r="6" spans="1:18" x14ac:dyDescent="0.25">
      <c r="A6" t="s">
        <v>8</v>
      </c>
      <c r="B6" t="s">
        <v>34</v>
      </c>
      <c r="C6" t="s">
        <v>192</v>
      </c>
      <c r="D6" t="s">
        <v>15</v>
      </c>
      <c r="E6" t="s">
        <v>15</v>
      </c>
      <c r="F6" t="s">
        <v>15</v>
      </c>
      <c r="G6" t="s">
        <v>15</v>
      </c>
      <c r="H6" t="s">
        <v>193</v>
      </c>
      <c r="I6">
        <v>107000</v>
      </c>
    </row>
    <row r="7" spans="1:18" x14ac:dyDescent="0.25">
      <c r="A7" t="s">
        <v>37</v>
      </c>
      <c r="B7" t="s">
        <v>9</v>
      </c>
      <c r="C7" t="s">
        <v>194</v>
      </c>
      <c r="D7" t="s">
        <v>195</v>
      </c>
      <c r="E7" t="s">
        <v>196</v>
      </c>
      <c r="F7" t="s">
        <v>197</v>
      </c>
      <c r="G7" t="s">
        <v>198</v>
      </c>
      <c r="H7" t="s">
        <v>15</v>
      </c>
      <c r="I7">
        <v>127000</v>
      </c>
    </row>
    <row r="8" spans="1:18" x14ac:dyDescent="0.25">
      <c r="A8" t="s">
        <v>37</v>
      </c>
      <c r="B8" t="s">
        <v>16</v>
      </c>
      <c r="C8" t="s">
        <v>199</v>
      </c>
      <c r="D8" t="s">
        <v>200</v>
      </c>
      <c r="E8" t="s">
        <v>50</v>
      </c>
      <c r="F8" t="s">
        <v>46</v>
      </c>
      <c r="G8" t="s">
        <v>201</v>
      </c>
      <c r="H8" t="s">
        <v>15</v>
      </c>
      <c r="I8">
        <v>112000</v>
      </c>
    </row>
    <row r="9" spans="1:18" x14ac:dyDescent="0.25">
      <c r="A9" t="s">
        <v>37</v>
      </c>
      <c r="B9" t="s">
        <v>22</v>
      </c>
      <c r="C9" t="s">
        <v>202</v>
      </c>
      <c r="D9" t="s">
        <v>203</v>
      </c>
      <c r="E9" t="s">
        <v>204</v>
      </c>
      <c r="F9" t="s">
        <v>51</v>
      </c>
      <c r="G9" t="s">
        <v>205</v>
      </c>
      <c r="H9" t="s">
        <v>15</v>
      </c>
      <c r="I9">
        <v>121000</v>
      </c>
      <c r="L9" t="s">
        <v>601</v>
      </c>
      <c r="M9" t="s">
        <v>604</v>
      </c>
      <c r="N9" t="s">
        <v>0</v>
      </c>
      <c r="O9" t="s">
        <v>603</v>
      </c>
      <c r="P9" t="s">
        <v>605</v>
      </c>
      <c r="Q9" t="s">
        <v>606</v>
      </c>
      <c r="R9" t="s">
        <v>607</v>
      </c>
    </row>
    <row r="10" spans="1:18" x14ac:dyDescent="0.25">
      <c r="A10" t="s">
        <v>37</v>
      </c>
      <c r="B10" t="s">
        <v>28</v>
      </c>
      <c r="C10" t="s">
        <v>206</v>
      </c>
      <c r="D10" t="s">
        <v>207</v>
      </c>
      <c r="E10" t="s">
        <v>208</v>
      </c>
      <c r="F10" t="s">
        <v>46</v>
      </c>
      <c r="G10" t="s">
        <v>209</v>
      </c>
      <c r="H10" t="s">
        <v>15</v>
      </c>
      <c r="I10">
        <v>110000</v>
      </c>
      <c r="L10">
        <v>3104938</v>
      </c>
      <c r="M10">
        <v>3300</v>
      </c>
      <c r="N10" t="s">
        <v>8</v>
      </c>
      <c r="O10">
        <f>I6</f>
        <v>107000</v>
      </c>
      <c r="P10">
        <f t="shared" ref="P10:P19" si="0">(O10/$L$10*100)</f>
        <v>3.4461235618875476</v>
      </c>
      <c r="Q10">
        <f>INT($M$10*(P10/100))</f>
        <v>113</v>
      </c>
      <c r="R10">
        <f>SUM(Q10:Q19)</f>
        <v>3300</v>
      </c>
    </row>
    <row r="11" spans="1:18" x14ac:dyDescent="0.25">
      <c r="A11" t="s">
        <v>37</v>
      </c>
      <c r="B11" t="s">
        <v>34</v>
      </c>
      <c r="C11" t="s">
        <v>210</v>
      </c>
      <c r="D11" t="s">
        <v>15</v>
      </c>
      <c r="E11" t="s">
        <v>15</v>
      </c>
      <c r="F11" t="s">
        <v>15</v>
      </c>
      <c r="G11" t="s">
        <v>15</v>
      </c>
      <c r="H11" t="s">
        <v>211</v>
      </c>
      <c r="I11">
        <v>469000</v>
      </c>
      <c r="N11" t="s">
        <v>37</v>
      </c>
      <c r="O11">
        <f>I11</f>
        <v>469000</v>
      </c>
      <c r="P11">
        <f t="shared" si="0"/>
        <v>15.104971500236076</v>
      </c>
      <c r="Q11">
        <f t="shared" ref="Q11:Q17" si="1">INT($M$10*(P11/100))</f>
        <v>498</v>
      </c>
    </row>
    <row r="12" spans="1:18" x14ac:dyDescent="0.25">
      <c r="A12" t="s">
        <v>60</v>
      </c>
      <c r="B12" t="s">
        <v>9</v>
      </c>
      <c r="C12" t="s">
        <v>212</v>
      </c>
      <c r="D12" t="s">
        <v>213</v>
      </c>
      <c r="E12" t="s">
        <v>208</v>
      </c>
      <c r="F12" t="s">
        <v>214</v>
      </c>
      <c r="G12" t="s">
        <v>215</v>
      </c>
      <c r="H12" t="s">
        <v>15</v>
      </c>
      <c r="I12">
        <v>190000</v>
      </c>
      <c r="N12" t="s">
        <v>60</v>
      </c>
      <c r="O12">
        <f>I16</f>
        <v>664000</v>
      </c>
      <c r="P12">
        <f t="shared" si="0"/>
        <v>21.385290141059176</v>
      </c>
      <c r="Q12">
        <f t="shared" si="1"/>
        <v>705</v>
      </c>
    </row>
    <row r="13" spans="1:18" x14ac:dyDescent="0.25">
      <c r="A13" t="s">
        <v>60</v>
      </c>
      <c r="B13" t="s">
        <v>16</v>
      </c>
      <c r="C13" t="s">
        <v>216</v>
      </c>
      <c r="D13" t="s">
        <v>217</v>
      </c>
      <c r="E13" t="s">
        <v>218</v>
      </c>
      <c r="F13" t="s">
        <v>219</v>
      </c>
      <c r="G13" t="s">
        <v>220</v>
      </c>
      <c r="H13" t="s">
        <v>15</v>
      </c>
      <c r="I13">
        <v>167000</v>
      </c>
      <c r="N13" t="s">
        <v>83</v>
      </c>
      <c r="O13">
        <f>I21</f>
        <v>756000</v>
      </c>
      <c r="P13">
        <f t="shared" si="0"/>
        <v>24.348312269037255</v>
      </c>
      <c r="Q13">
        <f t="shared" si="1"/>
        <v>803</v>
      </c>
    </row>
    <row r="14" spans="1:18" x14ac:dyDescent="0.25">
      <c r="A14" t="s">
        <v>60</v>
      </c>
      <c r="B14" t="s">
        <v>22</v>
      </c>
      <c r="C14" t="s">
        <v>221</v>
      </c>
      <c r="D14" t="s">
        <v>222</v>
      </c>
      <c r="E14" t="s">
        <v>223</v>
      </c>
      <c r="F14" t="s">
        <v>219</v>
      </c>
      <c r="G14" t="s">
        <v>224</v>
      </c>
      <c r="H14" t="s">
        <v>15</v>
      </c>
      <c r="I14">
        <v>168000</v>
      </c>
      <c r="N14" t="s">
        <v>99</v>
      </c>
      <c r="O14">
        <f>I26</f>
        <v>571000</v>
      </c>
      <c r="P14">
        <f t="shared" si="0"/>
        <v>18.390061250820466</v>
      </c>
      <c r="Q14">
        <f t="shared" si="1"/>
        <v>606</v>
      </c>
    </row>
    <row r="15" spans="1:18" x14ac:dyDescent="0.25">
      <c r="A15" t="s">
        <v>60</v>
      </c>
      <c r="B15" t="s">
        <v>28</v>
      </c>
      <c r="C15" t="s">
        <v>225</v>
      </c>
      <c r="D15" t="s">
        <v>226</v>
      </c>
      <c r="E15" t="s">
        <v>88</v>
      </c>
      <c r="F15" t="s">
        <v>227</v>
      </c>
      <c r="G15" t="s">
        <v>228</v>
      </c>
      <c r="H15" t="s">
        <v>15</v>
      </c>
      <c r="I15">
        <v>139000</v>
      </c>
      <c r="N15" t="s">
        <v>118</v>
      </c>
      <c r="O15">
        <f>I31</f>
        <v>365000</v>
      </c>
      <c r="P15">
        <f t="shared" si="0"/>
        <v>11.755468225130421</v>
      </c>
      <c r="Q15">
        <f t="shared" si="1"/>
        <v>387</v>
      </c>
    </row>
    <row r="16" spans="1:18" x14ac:dyDescent="0.25">
      <c r="A16" t="s">
        <v>60</v>
      </c>
      <c r="B16" t="s">
        <v>34</v>
      </c>
      <c r="C16" t="s">
        <v>229</v>
      </c>
      <c r="D16" t="s">
        <v>15</v>
      </c>
      <c r="E16" t="s">
        <v>15</v>
      </c>
      <c r="F16" t="s">
        <v>15</v>
      </c>
      <c r="G16" t="s">
        <v>15</v>
      </c>
      <c r="H16" t="s">
        <v>230</v>
      </c>
      <c r="I16">
        <v>664000</v>
      </c>
      <c r="N16" t="s">
        <v>139</v>
      </c>
      <c r="O16">
        <f>I36</f>
        <v>144000</v>
      </c>
      <c r="P16">
        <f t="shared" si="0"/>
        <v>4.6377737655309055</v>
      </c>
      <c r="Q16">
        <f t="shared" si="1"/>
        <v>153</v>
      </c>
    </row>
    <row r="17" spans="1:17" x14ac:dyDescent="0.25">
      <c r="A17" t="s">
        <v>83</v>
      </c>
      <c r="B17" t="s">
        <v>9</v>
      </c>
      <c r="C17" t="s">
        <v>231</v>
      </c>
      <c r="D17" t="s">
        <v>232</v>
      </c>
      <c r="E17" t="s">
        <v>88</v>
      </c>
      <c r="F17" t="s">
        <v>233</v>
      </c>
      <c r="G17" t="s">
        <v>234</v>
      </c>
      <c r="H17" t="s">
        <v>15</v>
      </c>
      <c r="I17">
        <v>267000</v>
      </c>
      <c r="N17" t="s">
        <v>160</v>
      </c>
      <c r="O17">
        <f>I37</f>
        <v>28000</v>
      </c>
      <c r="P17">
        <f t="shared" si="0"/>
        <v>0.90178934329767613</v>
      </c>
      <c r="Q17">
        <f t="shared" si="1"/>
        <v>29</v>
      </c>
    </row>
    <row r="18" spans="1:17" x14ac:dyDescent="0.25">
      <c r="A18" t="s">
        <v>83</v>
      </c>
      <c r="B18" t="s">
        <v>16</v>
      </c>
      <c r="C18" t="s">
        <v>235</v>
      </c>
      <c r="D18" t="s">
        <v>236</v>
      </c>
      <c r="E18" t="s">
        <v>91</v>
      </c>
      <c r="F18" t="s">
        <v>69</v>
      </c>
      <c r="G18" t="s">
        <v>237</v>
      </c>
      <c r="H18" t="s">
        <v>15</v>
      </c>
      <c r="I18">
        <v>193000</v>
      </c>
      <c r="N18" t="s">
        <v>167</v>
      </c>
      <c r="O18">
        <f>I38</f>
        <v>768</v>
      </c>
      <c r="P18">
        <f t="shared" si="0"/>
        <v>2.473479341616483E-2</v>
      </c>
      <c r="Q18">
        <v>4</v>
      </c>
    </row>
    <row r="19" spans="1:17" x14ac:dyDescent="0.25">
      <c r="A19" t="s">
        <v>83</v>
      </c>
      <c r="B19" t="s">
        <v>22</v>
      </c>
      <c r="C19" t="s">
        <v>238</v>
      </c>
      <c r="D19" t="s">
        <v>239</v>
      </c>
      <c r="E19" t="s">
        <v>240</v>
      </c>
      <c r="F19" t="s">
        <v>241</v>
      </c>
      <c r="G19" t="s">
        <v>242</v>
      </c>
      <c r="H19" t="s">
        <v>15</v>
      </c>
      <c r="I19">
        <v>171000</v>
      </c>
      <c r="N19" t="s">
        <v>172</v>
      </c>
      <c r="O19">
        <f>I39</f>
        <v>308</v>
      </c>
      <c r="P19">
        <f t="shared" si="0"/>
        <v>9.9196827762744379E-3</v>
      </c>
      <c r="Q19">
        <v>2</v>
      </c>
    </row>
    <row r="20" spans="1:17" x14ac:dyDescent="0.25">
      <c r="A20" t="s">
        <v>83</v>
      </c>
      <c r="B20" t="s">
        <v>28</v>
      </c>
      <c r="C20" t="s">
        <v>243</v>
      </c>
      <c r="D20" t="s">
        <v>244</v>
      </c>
      <c r="E20" t="s">
        <v>245</v>
      </c>
      <c r="F20" t="s">
        <v>246</v>
      </c>
      <c r="G20" t="s">
        <v>247</v>
      </c>
      <c r="H20" t="s">
        <v>15</v>
      </c>
      <c r="I20">
        <v>124000</v>
      </c>
    </row>
    <row r="21" spans="1:17" x14ac:dyDescent="0.25">
      <c r="A21" t="s">
        <v>83</v>
      </c>
      <c r="B21" t="s">
        <v>34</v>
      </c>
      <c r="C21" t="s">
        <v>248</v>
      </c>
      <c r="D21" t="s">
        <v>15</v>
      </c>
      <c r="E21" t="s">
        <v>15</v>
      </c>
      <c r="F21" t="s">
        <v>15</v>
      </c>
      <c r="G21" t="s">
        <v>15</v>
      </c>
      <c r="H21" t="s">
        <v>249</v>
      </c>
      <c r="I21">
        <v>756000</v>
      </c>
    </row>
    <row r="22" spans="1:17" x14ac:dyDescent="0.25">
      <c r="A22" t="s">
        <v>99</v>
      </c>
      <c r="B22" t="s">
        <v>9</v>
      </c>
      <c r="C22" t="s">
        <v>250</v>
      </c>
      <c r="D22" t="s">
        <v>251</v>
      </c>
      <c r="E22" t="s">
        <v>102</v>
      </c>
      <c r="F22" t="s">
        <v>252</v>
      </c>
      <c r="G22" t="s">
        <v>253</v>
      </c>
      <c r="H22" t="s">
        <v>15</v>
      </c>
      <c r="I22">
        <v>229000</v>
      </c>
    </row>
    <row r="23" spans="1:17" x14ac:dyDescent="0.25">
      <c r="A23" t="s">
        <v>99</v>
      </c>
      <c r="B23" t="s">
        <v>16</v>
      </c>
      <c r="C23" t="s">
        <v>254</v>
      </c>
      <c r="D23" t="s">
        <v>255</v>
      </c>
      <c r="E23" t="s">
        <v>109</v>
      </c>
      <c r="F23" t="s">
        <v>143</v>
      </c>
      <c r="G23" t="s">
        <v>256</v>
      </c>
      <c r="H23" t="s">
        <v>15</v>
      </c>
      <c r="I23">
        <v>143000</v>
      </c>
    </row>
    <row r="24" spans="1:17" x14ac:dyDescent="0.25">
      <c r="A24" t="s">
        <v>99</v>
      </c>
      <c r="B24" t="s">
        <v>22</v>
      </c>
      <c r="C24" t="s">
        <v>257</v>
      </c>
      <c r="D24" t="s">
        <v>258</v>
      </c>
      <c r="E24" t="s">
        <v>259</v>
      </c>
      <c r="F24" t="s">
        <v>159</v>
      </c>
      <c r="G24" t="s">
        <v>260</v>
      </c>
      <c r="H24" t="s">
        <v>15</v>
      </c>
      <c r="I24">
        <v>116000</v>
      </c>
    </row>
    <row r="25" spans="1:17" x14ac:dyDescent="0.25">
      <c r="A25" t="s">
        <v>99</v>
      </c>
      <c r="B25" t="s">
        <v>28</v>
      </c>
      <c r="C25" t="s">
        <v>261</v>
      </c>
      <c r="D25" t="s">
        <v>262</v>
      </c>
      <c r="E25" t="s">
        <v>263</v>
      </c>
      <c r="F25" t="s">
        <v>114</v>
      </c>
      <c r="G25" t="s">
        <v>115</v>
      </c>
      <c r="H25" t="s">
        <v>15</v>
      </c>
      <c r="I25">
        <v>83000</v>
      </c>
    </row>
    <row r="26" spans="1:17" x14ac:dyDescent="0.25">
      <c r="A26" t="s">
        <v>99</v>
      </c>
      <c r="B26" t="s">
        <v>34</v>
      </c>
      <c r="C26" t="s">
        <v>264</v>
      </c>
      <c r="D26" t="s">
        <v>15</v>
      </c>
      <c r="E26" t="s">
        <v>15</v>
      </c>
      <c r="F26" t="s">
        <v>15</v>
      </c>
      <c r="G26" t="s">
        <v>15</v>
      </c>
      <c r="H26" t="s">
        <v>265</v>
      </c>
      <c r="I26">
        <v>571000</v>
      </c>
    </row>
    <row r="27" spans="1:17" x14ac:dyDescent="0.25">
      <c r="A27" t="s">
        <v>118</v>
      </c>
      <c r="B27" t="s">
        <v>9</v>
      </c>
      <c r="C27" t="s">
        <v>266</v>
      </c>
      <c r="D27" t="s">
        <v>267</v>
      </c>
      <c r="E27" t="s">
        <v>126</v>
      </c>
      <c r="F27" t="s">
        <v>122</v>
      </c>
      <c r="G27" t="s">
        <v>117</v>
      </c>
      <c r="H27" t="s">
        <v>15</v>
      </c>
      <c r="I27">
        <v>155000</v>
      </c>
    </row>
    <row r="28" spans="1:17" x14ac:dyDescent="0.25">
      <c r="A28" t="s">
        <v>118</v>
      </c>
      <c r="B28" t="s">
        <v>16</v>
      </c>
      <c r="C28" t="s">
        <v>268</v>
      </c>
      <c r="D28" t="s">
        <v>269</v>
      </c>
      <c r="E28" t="s">
        <v>130</v>
      </c>
      <c r="F28" t="s">
        <v>270</v>
      </c>
      <c r="G28" t="s">
        <v>127</v>
      </c>
      <c r="H28" t="s">
        <v>15</v>
      </c>
      <c r="I28">
        <v>80000</v>
      </c>
    </row>
    <row r="29" spans="1:17" x14ac:dyDescent="0.25">
      <c r="A29" t="s">
        <v>118</v>
      </c>
      <c r="B29" t="s">
        <v>22</v>
      </c>
      <c r="C29" t="s">
        <v>271</v>
      </c>
      <c r="D29" t="s">
        <v>272</v>
      </c>
      <c r="E29" t="s">
        <v>146</v>
      </c>
      <c r="F29" t="s">
        <v>273</v>
      </c>
      <c r="G29" t="s">
        <v>274</v>
      </c>
      <c r="H29" t="s">
        <v>15</v>
      </c>
      <c r="I29">
        <v>68000</v>
      </c>
    </row>
    <row r="30" spans="1:17" x14ac:dyDescent="0.25">
      <c r="A30" t="s">
        <v>118</v>
      </c>
      <c r="B30" t="s">
        <v>28</v>
      </c>
      <c r="C30" t="s">
        <v>275</v>
      </c>
      <c r="D30" t="s">
        <v>105</v>
      </c>
      <c r="E30" t="s">
        <v>151</v>
      </c>
      <c r="F30" t="s">
        <v>131</v>
      </c>
      <c r="G30" t="s">
        <v>276</v>
      </c>
      <c r="H30" t="s">
        <v>15</v>
      </c>
      <c r="I30">
        <v>62000</v>
      </c>
    </row>
    <row r="31" spans="1:17" x14ac:dyDescent="0.25">
      <c r="A31" t="s">
        <v>118</v>
      </c>
      <c r="B31" t="s">
        <v>34</v>
      </c>
      <c r="C31" t="s">
        <v>277</v>
      </c>
      <c r="D31" t="s">
        <v>15</v>
      </c>
      <c r="E31" t="s">
        <v>15</v>
      </c>
      <c r="F31" t="s">
        <v>15</v>
      </c>
      <c r="G31" t="s">
        <v>15</v>
      </c>
      <c r="H31" t="s">
        <v>278</v>
      </c>
      <c r="I31">
        <v>365000</v>
      </c>
    </row>
    <row r="32" spans="1:17" x14ac:dyDescent="0.25">
      <c r="A32" t="s">
        <v>139</v>
      </c>
      <c r="B32" t="s">
        <v>9</v>
      </c>
      <c r="C32" t="s">
        <v>84</v>
      </c>
      <c r="D32" t="s">
        <v>279</v>
      </c>
      <c r="E32" t="s">
        <v>89</v>
      </c>
      <c r="F32" t="s">
        <v>273</v>
      </c>
      <c r="G32" t="s">
        <v>280</v>
      </c>
      <c r="H32" t="s">
        <v>15</v>
      </c>
      <c r="I32">
        <v>67000</v>
      </c>
    </row>
    <row r="33" spans="1:9" x14ac:dyDescent="0.25">
      <c r="A33" t="s">
        <v>139</v>
      </c>
      <c r="B33" t="s">
        <v>16</v>
      </c>
      <c r="C33" t="s">
        <v>281</v>
      </c>
      <c r="D33" t="s">
        <v>282</v>
      </c>
      <c r="E33" t="s">
        <v>283</v>
      </c>
      <c r="F33" t="s">
        <v>284</v>
      </c>
      <c r="G33" t="s">
        <v>193</v>
      </c>
      <c r="H33" t="s">
        <v>15</v>
      </c>
      <c r="I33">
        <v>22000</v>
      </c>
    </row>
    <row r="34" spans="1:9" x14ac:dyDescent="0.25">
      <c r="A34" t="s">
        <v>139</v>
      </c>
      <c r="B34" t="s">
        <v>22</v>
      </c>
      <c r="C34" t="s">
        <v>285</v>
      </c>
      <c r="D34" t="s">
        <v>286</v>
      </c>
      <c r="E34" t="s">
        <v>134</v>
      </c>
      <c r="F34" t="s">
        <v>287</v>
      </c>
      <c r="G34" t="s">
        <v>114</v>
      </c>
      <c r="H34" t="s">
        <v>15</v>
      </c>
      <c r="I34">
        <v>34000</v>
      </c>
    </row>
    <row r="35" spans="1:9" x14ac:dyDescent="0.25">
      <c r="A35" t="s">
        <v>139</v>
      </c>
      <c r="B35" t="s">
        <v>28</v>
      </c>
      <c r="C35" t="s">
        <v>128</v>
      </c>
      <c r="D35" t="s">
        <v>288</v>
      </c>
      <c r="E35" t="s">
        <v>151</v>
      </c>
      <c r="F35" t="s">
        <v>289</v>
      </c>
      <c r="G35" t="s">
        <v>290</v>
      </c>
      <c r="H35" t="s">
        <v>15</v>
      </c>
      <c r="I35">
        <v>21000</v>
      </c>
    </row>
    <row r="36" spans="1:9" x14ac:dyDescent="0.25">
      <c r="A36" t="s">
        <v>139</v>
      </c>
      <c r="B36" t="s">
        <v>34</v>
      </c>
      <c r="C36" t="s">
        <v>291</v>
      </c>
      <c r="D36" t="s">
        <v>15</v>
      </c>
      <c r="E36" t="s">
        <v>15</v>
      </c>
      <c r="F36" t="s">
        <v>15</v>
      </c>
      <c r="G36" t="s">
        <v>15</v>
      </c>
      <c r="H36" t="s">
        <v>143</v>
      </c>
      <c r="I36">
        <v>144000</v>
      </c>
    </row>
    <row r="37" spans="1:9" x14ac:dyDescent="0.25">
      <c r="A37" t="s">
        <v>160</v>
      </c>
      <c r="B37" t="s">
        <v>161</v>
      </c>
      <c r="C37" t="s">
        <v>111</v>
      </c>
      <c r="D37" t="s">
        <v>292</v>
      </c>
      <c r="E37" t="s">
        <v>151</v>
      </c>
      <c r="F37" t="s">
        <v>293</v>
      </c>
      <c r="G37" t="s">
        <v>294</v>
      </c>
      <c r="H37" t="s">
        <v>293</v>
      </c>
      <c r="I37">
        <v>28000</v>
      </c>
    </row>
    <row r="38" spans="1:9" x14ac:dyDescent="0.25">
      <c r="A38" t="s">
        <v>167</v>
      </c>
      <c r="B38" t="s">
        <v>161</v>
      </c>
      <c r="C38">
        <v>768</v>
      </c>
      <c r="D38" t="s">
        <v>295</v>
      </c>
      <c r="E38" t="s">
        <v>169</v>
      </c>
      <c r="F38" t="s">
        <v>175</v>
      </c>
      <c r="G38" t="s">
        <v>296</v>
      </c>
      <c r="H38" t="s">
        <v>175</v>
      </c>
      <c r="I38">
        <v>768</v>
      </c>
    </row>
    <row r="39" spans="1:9" x14ac:dyDescent="0.25">
      <c r="A39" t="s">
        <v>172</v>
      </c>
      <c r="B39" t="s">
        <v>161</v>
      </c>
      <c r="C39">
        <v>308</v>
      </c>
      <c r="D39" t="s">
        <v>297</v>
      </c>
      <c r="E39" t="s">
        <v>298</v>
      </c>
      <c r="F39" t="s">
        <v>299</v>
      </c>
      <c r="G39" t="s">
        <v>299</v>
      </c>
      <c r="H39" t="s">
        <v>299</v>
      </c>
      <c r="I39">
        <v>308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BE5B-6A4D-4969-A605-A8D66D73777F}">
  <dimension ref="A1:R39"/>
  <sheetViews>
    <sheetView workbookViewId="0">
      <selection activeCell="I1" sqref="I1"/>
    </sheetView>
  </sheetViews>
  <sheetFormatPr defaultRowHeight="15" x14ac:dyDescent="0.25"/>
  <cols>
    <col min="9" max="9" width="12.5703125" bestFit="1" customWidth="1"/>
    <col min="10" max="10" width="12.5703125" customWidth="1"/>
    <col min="11" max="11" width="9.5703125" customWidth="1"/>
    <col min="12" max="12" width="14.85546875" bestFit="1" customWidth="1"/>
    <col min="13" max="13" width="17.28515625" customWidth="1"/>
    <col min="14" max="14" width="12.5703125" bestFit="1" customWidth="1"/>
    <col min="15" max="15" width="10.140625" customWidth="1"/>
    <col min="17" max="17" width="15.42578125" customWidth="1"/>
    <col min="18" max="18" width="16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602</v>
      </c>
    </row>
    <row r="2" spans="1:18" x14ac:dyDescent="0.25">
      <c r="A2" t="s">
        <v>8</v>
      </c>
      <c r="B2" t="s">
        <v>9</v>
      </c>
      <c r="C2" t="s">
        <v>300</v>
      </c>
      <c r="D2" t="s">
        <v>301</v>
      </c>
      <c r="E2" t="s">
        <v>302</v>
      </c>
      <c r="F2" t="s">
        <v>303</v>
      </c>
      <c r="G2" t="s">
        <v>14</v>
      </c>
      <c r="H2" t="s">
        <v>15</v>
      </c>
      <c r="I2">
        <v>9200</v>
      </c>
      <c r="K2" s="2"/>
    </row>
    <row r="3" spans="1:18" x14ac:dyDescent="0.25">
      <c r="A3" t="s">
        <v>8</v>
      </c>
      <c r="B3" t="s">
        <v>16</v>
      </c>
      <c r="C3" t="s">
        <v>304</v>
      </c>
      <c r="D3" t="s">
        <v>305</v>
      </c>
      <c r="E3" t="s">
        <v>181</v>
      </c>
      <c r="F3" t="s">
        <v>306</v>
      </c>
      <c r="G3" t="s">
        <v>183</v>
      </c>
      <c r="H3" t="s">
        <v>15</v>
      </c>
      <c r="I3">
        <v>10109</v>
      </c>
    </row>
    <row r="4" spans="1:18" x14ac:dyDescent="0.25">
      <c r="A4" t="s">
        <v>8</v>
      </c>
      <c r="B4" t="s">
        <v>22</v>
      </c>
      <c r="C4" t="s">
        <v>307</v>
      </c>
      <c r="D4" t="s">
        <v>308</v>
      </c>
      <c r="E4" t="s">
        <v>309</v>
      </c>
      <c r="F4" t="s">
        <v>310</v>
      </c>
      <c r="G4" t="s">
        <v>311</v>
      </c>
      <c r="H4" t="s">
        <v>15</v>
      </c>
      <c r="I4">
        <v>23239</v>
      </c>
    </row>
    <row r="5" spans="1:18" x14ac:dyDescent="0.25">
      <c r="A5" t="s">
        <v>8</v>
      </c>
      <c r="B5" t="s">
        <v>28</v>
      </c>
      <c r="C5" t="s">
        <v>312</v>
      </c>
      <c r="D5" t="s">
        <v>313</v>
      </c>
      <c r="E5" t="s">
        <v>196</v>
      </c>
      <c r="F5" t="s">
        <v>314</v>
      </c>
      <c r="G5" t="s">
        <v>315</v>
      </c>
      <c r="H5" t="s">
        <v>15</v>
      </c>
      <c r="I5">
        <v>61618</v>
      </c>
    </row>
    <row r="6" spans="1:18" x14ac:dyDescent="0.25">
      <c r="A6" t="s">
        <v>8</v>
      </c>
      <c r="B6" t="s">
        <v>34</v>
      </c>
      <c r="C6" t="s">
        <v>316</v>
      </c>
      <c r="D6" t="s">
        <v>15</v>
      </c>
      <c r="E6" t="s">
        <v>15</v>
      </c>
      <c r="F6" t="s">
        <v>15</v>
      </c>
      <c r="G6" t="s">
        <v>15</v>
      </c>
      <c r="H6" t="s">
        <v>246</v>
      </c>
      <c r="I6">
        <v>104104</v>
      </c>
    </row>
    <row r="7" spans="1:18" x14ac:dyDescent="0.25">
      <c r="A7" t="s">
        <v>37</v>
      </c>
      <c r="B7" t="s">
        <v>9</v>
      </c>
      <c r="C7" t="s">
        <v>317</v>
      </c>
      <c r="D7" t="s">
        <v>318</v>
      </c>
      <c r="E7" t="s">
        <v>40</v>
      </c>
      <c r="F7" t="s">
        <v>246</v>
      </c>
      <c r="G7" t="s">
        <v>319</v>
      </c>
      <c r="H7" t="s">
        <v>15</v>
      </c>
      <c r="I7">
        <v>1051056</v>
      </c>
    </row>
    <row r="8" spans="1:18" x14ac:dyDescent="0.25">
      <c r="A8" t="s">
        <v>37</v>
      </c>
      <c r="B8" t="s">
        <v>16</v>
      </c>
      <c r="C8" t="s">
        <v>320</v>
      </c>
      <c r="D8" t="s">
        <v>321</v>
      </c>
      <c r="E8" t="s">
        <v>322</v>
      </c>
      <c r="F8" t="s">
        <v>323</v>
      </c>
      <c r="G8" t="s">
        <v>324</v>
      </c>
      <c r="H8" t="s">
        <v>15</v>
      </c>
      <c r="I8">
        <v>93932</v>
      </c>
    </row>
    <row r="9" spans="1:18" x14ac:dyDescent="0.25">
      <c r="A9" t="s">
        <v>37</v>
      </c>
      <c r="B9" t="s">
        <v>22</v>
      </c>
      <c r="C9" t="s">
        <v>325</v>
      </c>
      <c r="D9" t="s">
        <v>326</v>
      </c>
      <c r="E9" t="s">
        <v>327</v>
      </c>
      <c r="F9" t="s">
        <v>159</v>
      </c>
      <c r="G9" t="s">
        <v>328</v>
      </c>
      <c r="H9" t="s">
        <v>15</v>
      </c>
      <c r="I9">
        <v>1011018</v>
      </c>
      <c r="L9" t="s">
        <v>601</v>
      </c>
      <c r="M9" t="s">
        <v>604</v>
      </c>
      <c r="N9" t="s">
        <v>0</v>
      </c>
      <c r="O9" t="s">
        <v>603</v>
      </c>
      <c r="P9" t="s">
        <v>605</v>
      </c>
      <c r="Q9" t="s">
        <v>606</v>
      </c>
      <c r="R9" t="s">
        <v>607</v>
      </c>
    </row>
    <row r="10" spans="1:18" x14ac:dyDescent="0.25">
      <c r="A10" t="s">
        <v>37</v>
      </c>
      <c r="B10" t="s">
        <v>28</v>
      </c>
      <c r="C10" t="s">
        <v>329</v>
      </c>
      <c r="D10" t="s">
        <v>330</v>
      </c>
      <c r="E10" t="s">
        <v>331</v>
      </c>
      <c r="F10" t="s">
        <v>332</v>
      </c>
      <c r="G10" t="s">
        <v>333</v>
      </c>
      <c r="H10" t="s">
        <v>15</v>
      </c>
      <c r="I10">
        <v>97974</v>
      </c>
      <c r="L10">
        <v>2623034</v>
      </c>
      <c r="M10">
        <v>2800</v>
      </c>
      <c r="N10" t="s">
        <v>8</v>
      </c>
      <c r="O10">
        <f>I6</f>
        <v>104104</v>
      </c>
      <c r="P10">
        <f t="shared" ref="P10:P19" si="0">(O10/$L$10*100)</f>
        <v>3.9688391381888302</v>
      </c>
      <c r="Q10">
        <f>INT($M$10*(P10/100))</f>
        <v>111</v>
      </c>
      <c r="R10">
        <f>SUM(Q10:Q19)</f>
        <v>2800</v>
      </c>
    </row>
    <row r="11" spans="1:18" x14ac:dyDescent="0.25">
      <c r="A11" t="s">
        <v>37</v>
      </c>
      <c r="B11" t="s">
        <v>34</v>
      </c>
      <c r="C11" t="s">
        <v>334</v>
      </c>
      <c r="D11" t="s">
        <v>15</v>
      </c>
      <c r="E11" t="s">
        <v>15</v>
      </c>
      <c r="F11" t="s">
        <v>15</v>
      </c>
      <c r="G11" t="s">
        <v>15</v>
      </c>
      <c r="H11" t="s">
        <v>211</v>
      </c>
      <c r="I11">
        <v>395395</v>
      </c>
      <c r="N11" t="s">
        <v>37</v>
      </c>
      <c r="O11">
        <f>I11</f>
        <v>395395</v>
      </c>
      <c r="P11">
        <f t="shared" si="0"/>
        <v>15.0739563421595</v>
      </c>
      <c r="Q11">
        <f t="shared" ref="Q11:Q19" si="1">INT($M$10*(P11/100))</f>
        <v>422</v>
      </c>
    </row>
    <row r="12" spans="1:18" x14ac:dyDescent="0.25">
      <c r="A12" t="s">
        <v>60</v>
      </c>
      <c r="B12" t="s">
        <v>9</v>
      </c>
      <c r="C12" t="s">
        <v>221</v>
      </c>
      <c r="D12" t="s">
        <v>335</v>
      </c>
      <c r="E12" t="s">
        <v>208</v>
      </c>
      <c r="F12" t="s">
        <v>336</v>
      </c>
      <c r="G12" t="s">
        <v>337</v>
      </c>
      <c r="H12" t="s">
        <v>15</v>
      </c>
      <c r="I12">
        <v>1681681</v>
      </c>
      <c r="N12" t="s">
        <v>60</v>
      </c>
      <c r="O12">
        <f>I16</f>
        <v>577577</v>
      </c>
      <c r="P12">
        <f t="shared" si="0"/>
        <v>22.019424833989952</v>
      </c>
      <c r="Q12">
        <f t="shared" si="1"/>
        <v>616</v>
      </c>
    </row>
    <row r="13" spans="1:18" x14ac:dyDescent="0.25">
      <c r="A13" t="s">
        <v>60</v>
      </c>
      <c r="B13" t="s">
        <v>16</v>
      </c>
      <c r="C13" t="s">
        <v>338</v>
      </c>
      <c r="D13" t="s">
        <v>339</v>
      </c>
      <c r="E13" t="s">
        <v>218</v>
      </c>
      <c r="F13" t="s">
        <v>280</v>
      </c>
      <c r="G13" t="s">
        <v>340</v>
      </c>
      <c r="H13" t="s">
        <v>15</v>
      </c>
      <c r="I13">
        <v>1461464</v>
      </c>
      <c r="N13" t="s">
        <v>83</v>
      </c>
      <c r="O13">
        <f>I21</f>
        <v>621621</v>
      </c>
      <c r="P13">
        <f t="shared" si="0"/>
        <v>23.698549084762149</v>
      </c>
      <c r="Q13">
        <f t="shared" si="1"/>
        <v>663</v>
      </c>
    </row>
    <row r="14" spans="1:18" x14ac:dyDescent="0.25">
      <c r="A14" t="s">
        <v>60</v>
      </c>
      <c r="B14" t="s">
        <v>22</v>
      </c>
      <c r="C14" t="s">
        <v>341</v>
      </c>
      <c r="D14" t="s">
        <v>342</v>
      </c>
      <c r="E14" t="s">
        <v>223</v>
      </c>
      <c r="F14" t="s">
        <v>241</v>
      </c>
      <c r="G14" t="s">
        <v>343</v>
      </c>
      <c r="H14" t="s">
        <v>15</v>
      </c>
      <c r="I14">
        <v>1451459</v>
      </c>
      <c r="N14" t="s">
        <v>99</v>
      </c>
      <c r="O14">
        <f>I26</f>
        <v>465465</v>
      </c>
      <c r="P14">
        <f t="shared" si="0"/>
        <v>17.745290377478902</v>
      </c>
      <c r="Q14">
        <f t="shared" si="1"/>
        <v>496</v>
      </c>
    </row>
    <row r="15" spans="1:18" x14ac:dyDescent="0.25">
      <c r="A15" t="s">
        <v>60</v>
      </c>
      <c r="B15" t="s">
        <v>28</v>
      </c>
      <c r="C15" t="s">
        <v>344</v>
      </c>
      <c r="D15" t="s">
        <v>345</v>
      </c>
      <c r="E15" t="s">
        <v>346</v>
      </c>
      <c r="F15" t="s">
        <v>227</v>
      </c>
      <c r="G15" t="s">
        <v>347</v>
      </c>
      <c r="H15" t="s">
        <v>15</v>
      </c>
      <c r="I15">
        <v>1181183</v>
      </c>
      <c r="N15" t="s">
        <v>118</v>
      </c>
      <c r="O15">
        <f>I31</f>
        <v>298298</v>
      </c>
      <c r="P15">
        <f t="shared" si="0"/>
        <v>11.372250607502609</v>
      </c>
      <c r="Q15">
        <f t="shared" si="1"/>
        <v>318</v>
      </c>
    </row>
    <row r="16" spans="1:18" x14ac:dyDescent="0.25">
      <c r="A16" t="s">
        <v>60</v>
      </c>
      <c r="B16" t="s">
        <v>34</v>
      </c>
      <c r="C16" t="s">
        <v>348</v>
      </c>
      <c r="D16" t="s">
        <v>15</v>
      </c>
      <c r="E16" t="s">
        <v>15</v>
      </c>
      <c r="F16" t="s">
        <v>15</v>
      </c>
      <c r="G16" t="s">
        <v>15</v>
      </c>
      <c r="H16" t="s">
        <v>349</v>
      </c>
      <c r="I16">
        <v>577577</v>
      </c>
      <c r="N16" t="s">
        <v>139</v>
      </c>
      <c r="O16">
        <f>I36</f>
        <v>138138</v>
      </c>
      <c r="P16">
        <f t="shared" si="0"/>
        <v>5.2663442410582553</v>
      </c>
      <c r="Q16">
        <f t="shared" si="1"/>
        <v>147</v>
      </c>
    </row>
    <row r="17" spans="1:17" x14ac:dyDescent="0.25">
      <c r="A17" t="s">
        <v>83</v>
      </c>
      <c r="B17" t="s">
        <v>9</v>
      </c>
      <c r="C17" t="s">
        <v>350</v>
      </c>
      <c r="D17" t="s">
        <v>351</v>
      </c>
      <c r="E17" t="s">
        <v>352</v>
      </c>
      <c r="F17" t="s">
        <v>353</v>
      </c>
      <c r="G17" t="s">
        <v>354</v>
      </c>
      <c r="H17" t="s">
        <v>15</v>
      </c>
      <c r="I17">
        <v>2222229</v>
      </c>
      <c r="N17" t="s">
        <v>160</v>
      </c>
      <c r="O17">
        <f>I37</f>
        <v>23000</v>
      </c>
      <c r="P17">
        <f t="shared" si="0"/>
        <v>0.87684719298339253</v>
      </c>
      <c r="Q17">
        <f t="shared" si="1"/>
        <v>24</v>
      </c>
    </row>
    <row r="18" spans="1:17" x14ac:dyDescent="0.25">
      <c r="A18" t="s">
        <v>83</v>
      </c>
      <c r="B18" t="s">
        <v>16</v>
      </c>
      <c r="C18" t="s">
        <v>355</v>
      </c>
      <c r="D18" t="s">
        <v>356</v>
      </c>
      <c r="E18" t="s">
        <v>357</v>
      </c>
      <c r="F18" t="s">
        <v>358</v>
      </c>
      <c r="G18" t="s">
        <v>109</v>
      </c>
      <c r="H18" t="s">
        <v>15</v>
      </c>
      <c r="I18">
        <v>1581580</v>
      </c>
      <c r="N18" t="s">
        <v>167</v>
      </c>
      <c r="O18">
        <f>I38</f>
        <v>700</v>
      </c>
      <c r="P18">
        <f t="shared" si="0"/>
        <v>2.6686653699494557E-2</v>
      </c>
      <c r="Q18">
        <v>2</v>
      </c>
    </row>
    <row r="19" spans="1:17" x14ac:dyDescent="0.25">
      <c r="A19" t="s">
        <v>83</v>
      </c>
      <c r="B19" t="s">
        <v>22</v>
      </c>
      <c r="C19" t="s">
        <v>359</v>
      </c>
      <c r="D19" t="s">
        <v>360</v>
      </c>
      <c r="E19" t="s">
        <v>240</v>
      </c>
      <c r="F19" t="s">
        <v>219</v>
      </c>
      <c r="G19" t="s">
        <v>361</v>
      </c>
      <c r="H19" t="s">
        <v>15</v>
      </c>
      <c r="I19">
        <v>1411414</v>
      </c>
      <c r="N19" t="s">
        <v>172</v>
      </c>
      <c r="O19">
        <f>I39</f>
        <v>300</v>
      </c>
      <c r="P19">
        <f t="shared" si="0"/>
        <v>1.143713729978338E-2</v>
      </c>
      <c r="Q19">
        <v>1</v>
      </c>
    </row>
    <row r="20" spans="1:17" x14ac:dyDescent="0.25">
      <c r="A20" t="s">
        <v>83</v>
      </c>
      <c r="B20" t="s">
        <v>28</v>
      </c>
      <c r="C20" t="s">
        <v>362</v>
      </c>
      <c r="D20" t="s">
        <v>363</v>
      </c>
      <c r="E20" t="s">
        <v>245</v>
      </c>
      <c r="F20" t="s">
        <v>159</v>
      </c>
      <c r="G20" t="s">
        <v>364</v>
      </c>
      <c r="H20" t="s">
        <v>15</v>
      </c>
      <c r="I20">
        <v>1001009</v>
      </c>
    </row>
    <row r="21" spans="1:17" x14ac:dyDescent="0.25">
      <c r="A21" t="s">
        <v>83</v>
      </c>
      <c r="B21" t="s">
        <v>34</v>
      </c>
      <c r="C21" t="s">
        <v>365</v>
      </c>
      <c r="D21" t="s">
        <v>15</v>
      </c>
      <c r="E21" t="s">
        <v>15</v>
      </c>
      <c r="F21" t="s">
        <v>15</v>
      </c>
      <c r="G21" t="s">
        <v>15</v>
      </c>
      <c r="H21" t="s">
        <v>260</v>
      </c>
      <c r="I21">
        <v>621621</v>
      </c>
    </row>
    <row r="22" spans="1:17" x14ac:dyDescent="0.25">
      <c r="A22" t="s">
        <v>99</v>
      </c>
      <c r="B22" t="s">
        <v>9</v>
      </c>
      <c r="C22" t="s">
        <v>235</v>
      </c>
      <c r="D22" t="s">
        <v>366</v>
      </c>
      <c r="E22" t="s">
        <v>109</v>
      </c>
      <c r="F22" t="s">
        <v>367</v>
      </c>
      <c r="G22" t="s">
        <v>368</v>
      </c>
      <c r="H22" t="s">
        <v>15</v>
      </c>
      <c r="I22">
        <v>1931935</v>
      </c>
    </row>
    <row r="23" spans="1:17" x14ac:dyDescent="0.25">
      <c r="A23" t="s">
        <v>99</v>
      </c>
      <c r="B23" t="s">
        <v>16</v>
      </c>
      <c r="C23" t="s">
        <v>369</v>
      </c>
      <c r="D23" t="s">
        <v>370</v>
      </c>
      <c r="E23" t="s">
        <v>113</v>
      </c>
      <c r="F23" t="s">
        <v>227</v>
      </c>
      <c r="G23" t="s">
        <v>371</v>
      </c>
      <c r="H23" t="s">
        <v>15</v>
      </c>
      <c r="I23">
        <v>1171178</v>
      </c>
    </row>
    <row r="24" spans="1:17" x14ac:dyDescent="0.25">
      <c r="A24" t="s">
        <v>99</v>
      </c>
      <c r="B24" t="s">
        <v>22</v>
      </c>
      <c r="C24" t="s">
        <v>372</v>
      </c>
      <c r="D24" t="s">
        <v>373</v>
      </c>
      <c r="E24" t="s">
        <v>263</v>
      </c>
      <c r="F24" t="s">
        <v>46</v>
      </c>
      <c r="G24" t="s">
        <v>98</v>
      </c>
      <c r="H24" t="s">
        <v>15</v>
      </c>
      <c r="I24">
        <v>94943</v>
      </c>
    </row>
    <row r="25" spans="1:17" x14ac:dyDescent="0.25">
      <c r="A25" t="s">
        <v>99</v>
      </c>
      <c r="B25" t="s">
        <v>28</v>
      </c>
      <c r="C25" t="s">
        <v>312</v>
      </c>
      <c r="D25" t="s">
        <v>374</v>
      </c>
      <c r="E25" t="s">
        <v>375</v>
      </c>
      <c r="F25" t="s">
        <v>314</v>
      </c>
      <c r="G25" t="s">
        <v>376</v>
      </c>
      <c r="H25" t="s">
        <v>15</v>
      </c>
      <c r="I25">
        <v>61619</v>
      </c>
    </row>
    <row r="26" spans="1:17" x14ac:dyDescent="0.25">
      <c r="A26" t="s">
        <v>99</v>
      </c>
      <c r="B26" t="s">
        <v>34</v>
      </c>
      <c r="C26" t="s">
        <v>377</v>
      </c>
      <c r="D26" t="s">
        <v>15</v>
      </c>
      <c r="E26" t="s">
        <v>15</v>
      </c>
      <c r="F26" t="s">
        <v>15</v>
      </c>
      <c r="G26" t="s">
        <v>15</v>
      </c>
      <c r="H26" t="s">
        <v>378</v>
      </c>
      <c r="I26">
        <v>465465</v>
      </c>
    </row>
    <row r="27" spans="1:17" x14ac:dyDescent="0.25">
      <c r="A27" t="s">
        <v>118</v>
      </c>
      <c r="B27" t="s">
        <v>9</v>
      </c>
      <c r="C27" t="s">
        <v>257</v>
      </c>
      <c r="D27" t="s">
        <v>379</v>
      </c>
      <c r="E27" t="s">
        <v>283</v>
      </c>
      <c r="F27" t="s">
        <v>56</v>
      </c>
      <c r="G27" t="s">
        <v>380</v>
      </c>
      <c r="H27" t="s">
        <v>15</v>
      </c>
      <c r="I27">
        <v>1161167</v>
      </c>
    </row>
    <row r="28" spans="1:17" x14ac:dyDescent="0.25">
      <c r="A28" t="s">
        <v>118</v>
      </c>
      <c r="B28" t="s">
        <v>16</v>
      </c>
      <c r="C28" t="s">
        <v>381</v>
      </c>
      <c r="D28" t="s">
        <v>382</v>
      </c>
      <c r="E28" t="s">
        <v>142</v>
      </c>
      <c r="F28" t="s">
        <v>383</v>
      </c>
      <c r="G28" t="s">
        <v>384</v>
      </c>
      <c r="H28" t="s">
        <v>15</v>
      </c>
      <c r="I28">
        <v>47473</v>
      </c>
    </row>
    <row r="29" spans="1:17" x14ac:dyDescent="0.25">
      <c r="A29" t="s">
        <v>118</v>
      </c>
      <c r="B29" t="s">
        <v>22</v>
      </c>
      <c r="C29" t="s">
        <v>320</v>
      </c>
      <c r="D29" t="s">
        <v>385</v>
      </c>
      <c r="E29" t="s">
        <v>283</v>
      </c>
      <c r="F29" t="s">
        <v>323</v>
      </c>
      <c r="G29" t="s">
        <v>386</v>
      </c>
      <c r="H29" t="s">
        <v>15</v>
      </c>
      <c r="I29">
        <v>93931</v>
      </c>
    </row>
    <row r="30" spans="1:17" x14ac:dyDescent="0.25">
      <c r="A30" t="s">
        <v>118</v>
      </c>
      <c r="B30" t="s">
        <v>28</v>
      </c>
      <c r="C30" t="s">
        <v>48</v>
      </c>
      <c r="D30" t="s">
        <v>67</v>
      </c>
      <c r="E30" t="s">
        <v>387</v>
      </c>
      <c r="F30" t="s">
        <v>290</v>
      </c>
      <c r="G30" t="s">
        <v>388</v>
      </c>
      <c r="H30" t="s">
        <v>15</v>
      </c>
      <c r="I30">
        <v>4242</v>
      </c>
    </row>
    <row r="31" spans="1:17" x14ac:dyDescent="0.25">
      <c r="A31" t="s">
        <v>118</v>
      </c>
      <c r="B31" t="s">
        <v>34</v>
      </c>
      <c r="C31" t="s">
        <v>389</v>
      </c>
      <c r="D31" t="s">
        <v>15</v>
      </c>
      <c r="E31" t="s">
        <v>15</v>
      </c>
      <c r="F31" t="s">
        <v>15</v>
      </c>
      <c r="G31" t="s">
        <v>15</v>
      </c>
      <c r="H31" t="s">
        <v>390</v>
      </c>
      <c r="I31">
        <v>298298</v>
      </c>
    </row>
    <row r="32" spans="1:17" x14ac:dyDescent="0.25">
      <c r="A32" t="s">
        <v>139</v>
      </c>
      <c r="B32" t="s">
        <v>9</v>
      </c>
      <c r="C32" t="s">
        <v>271</v>
      </c>
      <c r="D32" t="s">
        <v>272</v>
      </c>
      <c r="E32" t="s">
        <v>391</v>
      </c>
      <c r="F32" t="s">
        <v>270</v>
      </c>
      <c r="G32" t="s">
        <v>69</v>
      </c>
      <c r="H32" t="s">
        <v>15</v>
      </c>
      <c r="I32">
        <v>6868</v>
      </c>
    </row>
    <row r="33" spans="1:9" x14ac:dyDescent="0.25">
      <c r="A33" t="s">
        <v>139</v>
      </c>
      <c r="B33" t="s">
        <v>16</v>
      </c>
      <c r="C33" t="s">
        <v>392</v>
      </c>
      <c r="D33" t="s">
        <v>393</v>
      </c>
      <c r="E33" t="s">
        <v>89</v>
      </c>
      <c r="F33" t="s">
        <v>147</v>
      </c>
      <c r="G33" t="s">
        <v>46</v>
      </c>
      <c r="H33" t="s">
        <v>15</v>
      </c>
      <c r="I33">
        <v>1717</v>
      </c>
    </row>
    <row r="34" spans="1:9" x14ac:dyDescent="0.25">
      <c r="A34" t="s">
        <v>139</v>
      </c>
      <c r="B34" t="s">
        <v>22</v>
      </c>
      <c r="C34" t="s">
        <v>35</v>
      </c>
      <c r="D34" t="s">
        <v>394</v>
      </c>
      <c r="E34" t="s">
        <v>395</v>
      </c>
      <c r="F34" t="s">
        <v>287</v>
      </c>
      <c r="G34" t="s">
        <v>396</v>
      </c>
      <c r="H34" t="s">
        <v>15</v>
      </c>
      <c r="I34">
        <v>3030</v>
      </c>
    </row>
    <row r="35" spans="1:9" x14ac:dyDescent="0.25">
      <c r="A35" t="s">
        <v>139</v>
      </c>
      <c r="B35" t="s">
        <v>28</v>
      </c>
      <c r="C35" t="s">
        <v>307</v>
      </c>
      <c r="D35" t="s">
        <v>397</v>
      </c>
      <c r="E35" t="s">
        <v>134</v>
      </c>
      <c r="F35" t="s">
        <v>293</v>
      </c>
      <c r="G35" t="s">
        <v>383</v>
      </c>
      <c r="H35" t="s">
        <v>15</v>
      </c>
      <c r="I35">
        <v>2323</v>
      </c>
    </row>
    <row r="36" spans="1:9" x14ac:dyDescent="0.25">
      <c r="A36" t="s">
        <v>139</v>
      </c>
      <c r="B36" t="s">
        <v>34</v>
      </c>
      <c r="C36" t="s">
        <v>398</v>
      </c>
      <c r="D36" t="s">
        <v>15</v>
      </c>
      <c r="E36" t="s">
        <v>15</v>
      </c>
      <c r="F36" t="s">
        <v>15</v>
      </c>
      <c r="G36" t="s">
        <v>15</v>
      </c>
      <c r="H36" t="s">
        <v>399</v>
      </c>
      <c r="I36">
        <v>138138</v>
      </c>
    </row>
    <row r="37" spans="1:9" x14ac:dyDescent="0.25">
      <c r="A37" t="s">
        <v>160</v>
      </c>
      <c r="B37" t="s">
        <v>161</v>
      </c>
      <c r="C37" t="s">
        <v>307</v>
      </c>
      <c r="D37" t="s">
        <v>400</v>
      </c>
      <c r="E37" t="s">
        <v>89</v>
      </c>
      <c r="F37" t="s">
        <v>293</v>
      </c>
      <c r="G37" t="s">
        <v>294</v>
      </c>
      <c r="H37" t="s">
        <v>293</v>
      </c>
      <c r="I37">
        <v>23000</v>
      </c>
    </row>
    <row r="38" spans="1:9" x14ac:dyDescent="0.25">
      <c r="A38" t="s">
        <v>167</v>
      </c>
      <c r="B38" t="s">
        <v>161</v>
      </c>
      <c r="C38">
        <v>700</v>
      </c>
      <c r="D38" t="s">
        <v>401</v>
      </c>
      <c r="E38" t="s">
        <v>402</v>
      </c>
      <c r="F38" t="s">
        <v>296</v>
      </c>
      <c r="G38" t="s">
        <v>403</v>
      </c>
      <c r="H38" t="s">
        <v>296</v>
      </c>
      <c r="I38">
        <v>700</v>
      </c>
    </row>
    <row r="39" spans="1:9" x14ac:dyDescent="0.25">
      <c r="A39" t="s">
        <v>172</v>
      </c>
      <c r="B39" t="s">
        <v>161</v>
      </c>
      <c r="C39">
        <v>300</v>
      </c>
      <c r="D39" t="s">
        <v>404</v>
      </c>
      <c r="E39" t="s">
        <v>405</v>
      </c>
      <c r="F39" t="s">
        <v>406</v>
      </c>
      <c r="G39" t="s">
        <v>406</v>
      </c>
      <c r="H39" t="s">
        <v>406</v>
      </c>
      <c r="I39">
        <v>300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AEAB-7465-4789-95F0-377785238709}">
  <dimension ref="A1:R39"/>
  <sheetViews>
    <sheetView workbookViewId="0">
      <selection activeCell="L9" sqref="L9:R19"/>
    </sheetView>
  </sheetViews>
  <sheetFormatPr defaultRowHeight="15" x14ac:dyDescent="0.25"/>
  <cols>
    <col min="1" max="1" width="9.28515625" customWidth="1"/>
    <col min="9" max="9" width="10.5703125" bestFit="1" customWidth="1"/>
    <col min="12" max="12" width="14.7109375" bestFit="1" customWidth="1"/>
    <col min="13" max="13" width="17.5703125" bestFit="1" customWidth="1"/>
    <col min="14" max="14" width="12.5703125" bestFit="1" customWidth="1"/>
    <col min="15" max="15" width="10.28515625" bestFit="1" customWidth="1"/>
    <col min="16" max="16" width="12" bestFit="1" customWidth="1"/>
    <col min="17" max="17" width="15.7109375" bestFit="1" customWidth="1"/>
    <col min="18" max="18" width="16.28515625" bestFit="1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602</v>
      </c>
    </row>
    <row r="2" spans="1:18" x14ac:dyDescent="0.25">
      <c r="A2" t="s">
        <v>8</v>
      </c>
      <c r="B2" t="s">
        <v>9</v>
      </c>
      <c r="C2" t="s">
        <v>407</v>
      </c>
      <c r="D2" t="s">
        <v>408</v>
      </c>
      <c r="E2" t="s">
        <v>178</v>
      </c>
      <c r="F2" t="s">
        <v>409</v>
      </c>
      <c r="G2" t="s">
        <v>14</v>
      </c>
      <c r="H2" t="s">
        <v>15</v>
      </c>
      <c r="I2">
        <v>6100</v>
      </c>
    </row>
    <row r="3" spans="1:18" x14ac:dyDescent="0.25">
      <c r="A3" t="s">
        <v>8</v>
      </c>
      <c r="B3" t="s">
        <v>16</v>
      </c>
      <c r="C3" t="s">
        <v>154</v>
      </c>
      <c r="D3" t="s">
        <v>410</v>
      </c>
      <c r="E3" t="s">
        <v>411</v>
      </c>
      <c r="F3" t="s">
        <v>409</v>
      </c>
      <c r="G3" t="s">
        <v>183</v>
      </c>
      <c r="H3" t="s">
        <v>15</v>
      </c>
      <c r="I3">
        <v>6000</v>
      </c>
    </row>
    <row r="4" spans="1:18" x14ac:dyDescent="0.25">
      <c r="A4" t="s">
        <v>8</v>
      </c>
      <c r="B4" t="s">
        <v>22</v>
      </c>
      <c r="C4" t="s">
        <v>176</v>
      </c>
      <c r="D4" t="s">
        <v>412</v>
      </c>
      <c r="E4" t="s">
        <v>413</v>
      </c>
      <c r="F4" t="s">
        <v>414</v>
      </c>
      <c r="G4" t="s">
        <v>415</v>
      </c>
      <c r="H4" t="s">
        <v>15</v>
      </c>
      <c r="I4">
        <v>13000</v>
      </c>
    </row>
    <row r="5" spans="1:18" x14ac:dyDescent="0.25">
      <c r="A5" t="s">
        <v>8</v>
      </c>
      <c r="B5" t="s">
        <v>28</v>
      </c>
      <c r="C5" t="s">
        <v>416</v>
      </c>
      <c r="D5" t="s">
        <v>417</v>
      </c>
      <c r="E5" t="s">
        <v>189</v>
      </c>
      <c r="F5" t="s">
        <v>131</v>
      </c>
      <c r="G5" t="s">
        <v>418</v>
      </c>
      <c r="H5" t="s">
        <v>15</v>
      </c>
      <c r="I5">
        <v>27000</v>
      </c>
    </row>
    <row r="6" spans="1:18" x14ac:dyDescent="0.25">
      <c r="A6" t="s">
        <v>8</v>
      </c>
      <c r="B6" t="s">
        <v>34</v>
      </c>
      <c r="C6" t="s">
        <v>419</v>
      </c>
      <c r="D6" t="s">
        <v>15</v>
      </c>
      <c r="E6" t="s">
        <v>15</v>
      </c>
      <c r="F6" t="s">
        <v>15</v>
      </c>
      <c r="G6" t="s">
        <v>15</v>
      </c>
      <c r="H6" t="s">
        <v>159</v>
      </c>
      <c r="I6">
        <v>52000</v>
      </c>
    </row>
    <row r="7" spans="1:18" x14ac:dyDescent="0.25">
      <c r="A7" t="s">
        <v>37</v>
      </c>
      <c r="B7" t="s">
        <v>9</v>
      </c>
      <c r="C7" t="s">
        <v>420</v>
      </c>
      <c r="D7" t="s">
        <v>421</v>
      </c>
      <c r="E7" t="s">
        <v>422</v>
      </c>
      <c r="F7" t="s">
        <v>423</v>
      </c>
      <c r="G7" t="s">
        <v>424</v>
      </c>
      <c r="H7" t="s">
        <v>15</v>
      </c>
      <c r="I7">
        <v>59000</v>
      </c>
    </row>
    <row r="8" spans="1:18" x14ac:dyDescent="0.25">
      <c r="A8" t="s">
        <v>37</v>
      </c>
      <c r="B8" t="s">
        <v>16</v>
      </c>
      <c r="C8" t="s">
        <v>420</v>
      </c>
      <c r="D8" t="s">
        <v>425</v>
      </c>
      <c r="E8" t="s">
        <v>426</v>
      </c>
      <c r="F8" t="s">
        <v>423</v>
      </c>
      <c r="G8" t="s">
        <v>427</v>
      </c>
      <c r="H8" t="s">
        <v>15</v>
      </c>
      <c r="I8">
        <v>59000</v>
      </c>
    </row>
    <row r="9" spans="1:18" x14ac:dyDescent="0.25">
      <c r="A9" t="s">
        <v>37</v>
      </c>
      <c r="B9" t="s">
        <v>22</v>
      </c>
      <c r="C9" t="s">
        <v>428</v>
      </c>
      <c r="D9" t="s">
        <v>429</v>
      </c>
      <c r="E9" t="s">
        <v>430</v>
      </c>
      <c r="F9" t="s">
        <v>41</v>
      </c>
      <c r="G9" t="s">
        <v>431</v>
      </c>
      <c r="H9" t="s">
        <v>15</v>
      </c>
      <c r="I9">
        <v>58000</v>
      </c>
      <c r="L9" t="s">
        <v>601</v>
      </c>
      <c r="M9" t="s">
        <v>604</v>
      </c>
      <c r="N9" t="s">
        <v>0</v>
      </c>
      <c r="O9" t="s">
        <v>603</v>
      </c>
      <c r="P9" t="s">
        <v>605</v>
      </c>
      <c r="Q9" t="s">
        <v>606</v>
      </c>
      <c r="R9" t="s">
        <v>607</v>
      </c>
    </row>
    <row r="10" spans="1:18" x14ac:dyDescent="0.25">
      <c r="A10" t="s">
        <v>37</v>
      </c>
      <c r="B10" t="s">
        <v>28</v>
      </c>
      <c r="C10" t="s">
        <v>275</v>
      </c>
      <c r="D10" t="s">
        <v>345</v>
      </c>
      <c r="E10" t="s">
        <v>432</v>
      </c>
      <c r="F10" t="s">
        <v>227</v>
      </c>
      <c r="G10" t="s">
        <v>433</v>
      </c>
      <c r="H10" t="s">
        <v>15</v>
      </c>
      <c r="I10">
        <v>62000</v>
      </c>
      <c r="L10">
        <v>1372532</v>
      </c>
      <c r="M10">
        <v>1400</v>
      </c>
      <c r="N10" t="s">
        <v>8</v>
      </c>
      <c r="O10">
        <f>I6</f>
        <v>52000</v>
      </c>
      <c r="P10">
        <f t="shared" ref="P10:P19" si="0">(O10/$L$10*100)</f>
        <v>3.7886184074396811</v>
      </c>
      <c r="Q10">
        <f>INT($M$10*(P10/100))</f>
        <v>53</v>
      </c>
      <c r="R10">
        <f>SUM(Q10:Q19)</f>
        <v>1400</v>
      </c>
    </row>
    <row r="11" spans="1:18" x14ac:dyDescent="0.25">
      <c r="A11" t="s">
        <v>37</v>
      </c>
      <c r="B11" t="s">
        <v>34</v>
      </c>
      <c r="C11" t="s">
        <v>434</v>
      </c>
      <c r="D11" t="s">
        <v>15</v>
      </c>
      <c r="E11" t="s">
        <v>15</v>
      </c>
      <c r="F11" t="s">
        <v>15</v>
      </c>
      <c r="G11" t="s">
        <v>15</v>
      </c>
      <c r="H11" t="s">
        <v>117</v>
      </c>
      <c r="I11">
        <v>237000</v>
      </c>
      <c r="N11" t="s">
        <v>37</v>
      </c>
      <c r="O11">
        <f>I11</f>
        <v>237000</v>
      </c>
      <c r="P11">
        <f t="shared" si="0"/>
        <v>17.267356972369313</v>
      </c>
      <c r="Q11">
        <f t="shared" ref="Q11:Q17" si="1">INT($M$10*(P11/100))</f>
        <v>241</v>
      </c>
    </row>
    <row r="12" spans="1:18" x14ac:dyDescent="0.25">
      <c r="A12" t="s">
        <v>60</v>
      </c>
      <c r="B12" t="s">
        <v>9</v>
      </c>
      <c r="C12" t="s">
        <v>435</v>
      </c>
      <c r="D12" t="s">
        <v>436</v>
      </c>
      <c r="E12" t="s">
        <v>68</v>
      </c>
      <c r="F12" t="s">
        <v>358</v>
      </c>
      <c r="G12" t="s">
        <v>437</v>
      </c>
      <c r="H12" t="s">
        <v>15</v>
      </c>
      <c r="I12">
        <v>82000</v>
      </c>
      <c r="N12" t="s">
        <v>60</v>
      </c>
      <c r="O12">
        <f>I16</f>
        <v>301000</v>
      </c>
      <c r="P12">
        <f t="shared" si="0"/>
        <v>21.930271935371998</v>
      </c>
      <c r="Q12">
        <f t="shared" si="1"/>
        <v>307</v>
      </c>
    </row>
    <row r="13" spans="1:18" x14ac:dyDescent="0.25">
      <c r="A13" t="s">
        <v>60</v>
      </c>
      <c r="B13" t="s">
        <v>16</v>
      </c>
      <c r="C13" t="s">
        <v>438</v>
      </c>
      <c r="D13" t="s">
        <v>439</v>
      </c>
      <c r="E13" t="s">
        <v>440</v>
      </c>
      <c r="F13" t="s">
        <v>399</v>
      </c>
      <c r="G13" t="s">
        <v>441</v>
      </c>
      <c r="H13" t="s">
        <v>15</v>
      </c>
      <c r="I13">
        <v>73000</v>
      </c>
      <c r="N13" t="s">
        <v>83</v>
      </c>
      <c r="O13">
        <f>I21</f>
        <v>325000</v>
      </c>
      <c r="P13">
        <f t="shared" si="0"/>
        <v>23.678865046498004</v>
      </c>
      <c r="Q13">
        <f t="shared" si="1"/>
        <v>331</v>
      </c>
    </row>
    <row r="14" spans="1:18" x14ac:dyDescent="0.25">
      <c r="A14" t="s">
        <v>60</v>
      </c>
      <c r="B14" t="s">
        <v>22</v>
      </c>
      <c r="C14" t="s">
        <v>66</v>
      </c>
      <c r="D14" t="s">
        <v>442</v>
      </c>
      <c r="E14" t="s">
        <v>443</v>
      </c>
      <c r="F14" t="s">
        <v>444</v>
      </c>
      <c r="G14" t="s">
        <v>445</v>
      </c>
      <c r="H14" t="s">
        <v>15</v>
      </c>
      <c r="I14">
        <v>65000</v>
      </c>
      <c r="N14" t="s">
        <v>99</v>
      </c>
      <c r="O14">
        <f>I26</f>
        <v>239000</v>
      </c>
      <c r="P14">
        <f t="shared" si="0"/>
        <v>17.413073064963147</v>
      </c>
      <c r="Q14">
        <f t="shared" si="1"/>
        <v>243</v>
      </c>
    </row>
    <row r="15" spans="1:18" x14ac:dyDescent="0.25">
      <c r="A15" t="s">
        <v>60</v>
      </c>
      <c r="B15" t="s">
        <v>28</v>
      </c>
      <c r="C15" t="s">
        <v>435</v>
      </c>
      <c r="D15" t="s">
        <v>446</v>
      </c>
      <c r="E15" t="s">
        <v>447</v>
      </c>
      <c r="F15" t="s">
        <v>448</v>
      </c>
      <c r="G15" t="s">
        <v>449</v>
      </c>
      <c r="H15" t="s">
        <v>15</v>
      </c>
      <c r="I15">
        <v>82000</v>
      </c>
      <c r="N15" t="s">
        <v>118</v>
      </c>
      <c r="O15">
        <f>I31</f>
        <v>156000</v>
      </c>
      <c r="P15">
        <f t="shared" si="0"/>
        <v>11.365855222319041</v>
      </c>
      <c r="Q15">
        <f t="shared" si="1"/>
        <v>159</v>
      </c>
    </row>
    <row r="16" spans="1:18" x14ac:dyDescent="0.25">
      <c r="A16" t="s">
        <v>60</v>
      </c>
      <c r="B16" t="s">
        <v>34</v>
      </c>
      <c r="C16" t="s">
        <v>450</v>
      </c>
      <c r="D16" t="s">
        <v>15</v>
      </c>
      <c r="E16" t="s">
        <v>15</v>
      </c>
      <c r="F16" t="s">
        <v>15</v>
      </c>
      <c r="G16" t="s">
        <v>15</v>
      </c>
      <c r="H16" t="s">
        <v>349</v>
      </c>
      <c r="I16">
        <v>301000</v>
      </c>
      <c r="N16" t="s">
        <v>139</v>
      </c>
      <c r="O16">
        <f>I36</f>
        <v>51000</v>
      </c>
      <c r="P16">
        <f t="shared" si="0"/>
        <v>3.7157603611427641</v>
      </c>
      <c r="Q16">
        <f t="shared" si="1"/>
        <v>52</v>
      </c>
    </row>
    <row r="17" spans="1:17" x14ac:dyDescent="0.25">
      <c r="A17" t="s">
        <v>83</v>
      </c>
      <c r="B17" t="s">
        <v>9</v>
      </c>
      <c r="C17" t="s">
        <v>451</v>
      </c>
      <c r="D17" t="s">
        <v>452</v>
      </c>
      <c r="E17" t="s">
        <v>352</v>
      </c>
      <c r="F17" t="s">
        <v>453</v>
      </c>
      <c r="G17" t="s">
        <v>454</v>
      </c>
      <c r="H17" t="s">
        <v>15</v>
      </c>
      <c r="I17">
        <v>111000</v>
      </c>
      <c r="N17" t="s">
        <v>160</v>
      </c>
      <c r="O17">
        <f>I37</f>
        <v>10000</v>
      </c>
      <c r="P17">
        <f t="shared" si="0"/>
        <v>0.72858046296916934</v>
      </c>
      <c r="Q17">
        <f t="shared" si="1"/>
        <v>10</v>
      </c>
    </row>
    <row r="18" spans="1:17" x14ac:dyDescent="0.25">
      <c r="A18" t="s">
        <v>83</v>
      </c>
      <c r="B18" t="s">
        <v>16</v>
      </c>
      <c r="C18" t="s">
        <v>455</v>
      </c>
      <c r="D18" t="s">
        <v>456</v>
      </c>
      <c r="E18" t="s">
        <v>457</v>
      </c>
      <c r="F18" t="s">
        <v>448</v>
      </c>
      <c r="G18" t="s">
        <v>223</v>
      </c>
      <c r="H18" t="s">
        <v>15</v>
      </c>
      <c r="I18">
        <v>81000</v>
      </c>
      <c r="N18" t="s">
        <v>167</v>
      </c>
      <c r="O18">
        <f>I38</f>
        <v>728</v>
      </c>
      <c r="P18">
        <f t="shared" si="0"/>
        <v>5.3040657704155537E-2</v>
      </c>
      <c r="Q18">
        <v>3</v>
      </c>
    </row>
    <row r="19" spans="1:17" x14ac:dyDescent="0.25">
      <c r="A19" t="s">
        <v>83</v>
      </c>
      <c r="B19" t="s">
        <v>22</v>
      </c>
      <c r="C19" t="s">
        <v>458</v>
      </c>
      <c r="D19" t="s">
        <v>459</v>
      </c>
      <c r="E19" t="s">
        <v>460</v>
      </c>
      <c r="F19" t="s">
        <v>444</v>
      </c>
      <c r="G19" t="s">
        <v>461</v>
      </c>
      <c r="H19" t="s">
        <v>15</v>
      </c>
      <c r="I19">
        <v>64000</v>
      </c>
      <c r="N19" t="s">
        <v>172</v>
      </c>
      <c r="O19">
        <f>I39</f>
        <v>302</v>
      </c>
      <c r="P19">
        <f t="shared" si="0"/>
        <v>2.2003129981668916E-2</v>
      </c>
      <c r="Q19">
        <v>1</v>
      </c>
    </row>
    <row r="20" spans="1:17" x14ac:dyDescent="0.25">
      <c r="A20" t="s">
        <v>83</v>
      </c>
      <c r="B20" t="s">
        <v>28</v>
      </c>
      <c r="C20" t="s">
        <v>462</v>
      </c>
      <c r="D20" t="s">
        <v>463</v>
      </c>
      <c r="E20" t="s">
        <v>245</v>
      </c>
      <c r="F20" t="s">
        <v>122</v>
      </c>
      <c r="G20" t="s">
        <v>464</v>
      </c>
      <c r="H20" t="s">
        <v>15</v>
      </c>
      <c r="I20">
        <v>69000</v>
      </c>
    </row>
    <row r="21" spans="1:17" x14ac:dyDescent="0.25">
      <c r="A21" t="s">
        <v>83</v>
      </c>
      <c r="B21" t="s">
        <v>34</v>
      </c>
      <c r="C21" t="s">
        <v>465</v>
      </c>
      <c r="D21" t="s">
        <v>15</v>
      </c>
      <c r="E21" t="s">
        <v>15</v>
      </c>
      <c r="F21" t="s">
        <v>15</v>
      </c>
      <c r="G21" t="s">
        <v>15</v>
      </c>
      <c r="H21" t="s">
        <v>260</v>
      </c>
      <c r="I21">
        <v>325000</v>
      </c>
    </row>
    <row r="22" spans="1:17" x14ac:dyDescent="0.25">
      <c r="A22" t="s">
        <v>99</v>
      </c>
      <c r="B22" t="s">
        <v>9</v>
      </c>
      <c r="C22" t="s">
        <v>466</v>
      </c>
      <c r="D22" t="s">
        <v>467</v>
      </c>
      <c r="E22" t="s">
        <v>109</v>
      </c>
      <c r="F22" t="s">
        <v>214</v>
      </c>
      <c r="G22" t="s">
        <v>468</v>
      </c>
      <c r="H22" t="s">
        <v>15</v>
      </c>
      <c r="I22">
        <v>84000</v>
      </c>
    </row>
    <row r="23" spans="1:17" x14ac:dyDescent="0.25">
      <c r="A23" t="s">
        <v>99</v>
      </c>
      <c r="B23" t="s">
        <v>16</v>
      </c>
      <c r="C23" t="s">
        <v>271</v>
      </c>
      <c r="D23" t="s">
        <v>469</v>
      </c>
      <c r="E23" t="s">
        <v>109</v>
      </c>
      <c r="F23" t="s">
        <v>122</v>
      </c>
      <c r="G23" t="s">
        <v>470</v>
      </c>
      <c r="H23" t="s">
        <v>15</v>
      </c>
      <c r="I23">
        <v>68000</v>
      </c>
    </row>
    <row r="24" spans="1:17" x14ac:dyDescent="0.25">
      <c r="A24" t="s">
        <v>99</v>
      </c>
      <c r="B24" t="s">
        <v>22</v>
      </c>
      <c r="C24" t="s">
        <v>61</v>
      </c>
      <c r="D24" t="s">
        <v>471</v>
      </c>
      <c r="E24" t="s">
        <v>259</v>
      </c>
      <c r="F24" t="s">
        <v>46</v>
      </c>
      <c r="G24" t="s">
        <v>472</v>
      </c>
      <c r="H24" t="s">
        <v>15</v>
      </c>
      <c r="I24">
        <v>50000</v>
      </c>
    </row>
    <row r="25" spans="1:17" x14ac:dyDescent="0.25">
      <c r="A25" t="s">
        <v>99</v>
      </c>
      <c r="B25" t="s">
        <v>28</v>
      </c>
      <c r="C25" t="s">
        <v>473</v>
      </c>
      <c r="D25" t="s">
        <v>474</v>
      </c>
      <c r="E25" t="s">
        <v>121</v>
      </c>
      <c r="F25" t="s">
        <v>114</v>
      </c>
      <c r="G25" t="s">
        <v>475</v>
      </c>
      <c r="H25" t="s">
        <v>15</v>
      </c>
      <c r="I25">
        <v>37000</v>
      </c>
    </row>
    <row r="26" spans="1:17" x14ac:dyDescent="0.25">
      <c r="A26" t="s">
        <v>99</v>
      </c>
      <c r="B26" t="s">
        <v>34</v>
      </c>
      <c r="C26" t="s">
        <v>476</v>
      </c>
      <c r="D26" t="s">
        <v>15</v>
      </c>
      <c r="E26" t="s">
        <v>15</v>
      </c>
      <c r="F26" t="s">
        <v>15</v>
      </c>
      <c r="G26" t="s">
        <v>15</v>
      </c>
      <c r="H26" t="s">
        <v>123</v>
      </c>
      <c r="I26">
        <v>239000</v>
      </c>
    </row>
    <row r="27" spans="1:17" x14ac:dyDescent="0.25">
      <c r="A27" t="s">
        <v>118</v>
      </c>
      <c r="B27" t="s">
        <v>9</v>
      </c>
      <c r="C27" t="s">
        <v>71</v>
      </c>
      <c r="D27" t="s">
        <v>477</v>
      </c>
      <c r="E27" t="s">
        <v>130</v>
      </c>
      <c r="F27" t="s">
        <v>56</v>
      </c>
      <c r="G27" t="s">
        <v>478</v>
      </c>
      <c r="H27" t="s">
        <v>15</v>
      </c>
      <c r="I27">
        <v>60000</v>
      </c>
    </row>
    <row r="28" spans="1:17" x14ac:dyDescent="0.25">
      <c r="A28" t="s">
        <v>118</v>
      </c>
      <c r="B28" t="s">
        <v>16</v>
      </c>
      <c r="C28" t="s">
        <v>43</v>
      </c>
      <c r="D28" t="s">
        <v>479</v>
      </c>
      <c r="E28" t="s">
        <v>130</v>
      </c>
      <c r="F28" t="s">
        <v>36</v>
      </c>
      <c r="G28" t="s">
        <v>480</v>
      </c>
      <c r="H28" t="s">
        <v>15</v>
      </c>
      <c r="I28">
        <v>38000</v>
      </c>
    </row>
    <row r="29" spans="1:17" x14ac:dyDescent="0.25">
      <c r="A29" t="s">
        <v>118</v>
      </c>
      <c r="B29" t="s">
        <v>22</v>
      </c>
      <c r="C29" t="s">
        <v>481</v>
      </c>
      <c r="D29" t="s">
        <v>482</v>
      </c>
      <c r="E29" t="s">
        <v>283</v>
      </c>
      <c r="F29" t="s">
        <v>383</v>
      </c>
      <c r="G29" t="s">
        <v>483</v>
      </c>
      <c r="H29" t="s">
        <v>15</v>
      </c>
      <c r="I29">
        <v>25000</v>
      </c>
    </row>
    <row r="30" spans="1:17" x14ac:dyDescent="0.25">
      <c r="A30" t="s">
        <v>118</v>
      </c>
      <c r="B30" t="s">
        <v>28</v>
      </c>
      <c r="C30" t="s">
        <v>285</v>
      </c>
      <c r="D30" t="s">
        <v>484</v>
      </c>
      <c r="E30" t="s">
        <v>391</v>
      </c>
      <c r="F30" t="s">
        <v>153</v>
      </c>
      <c r="G30" t="s">
        <v>485</v>
      </c>
      <c r="H30" t="s">
        <v>15</v>
      </c>
      <c r="I30">
        <v>34000</v>
      </c>
    </row>
    <row r="31" spans="1:17" x14ac:dyDescent="0.25">
      <c r="A31" t="s">
        <v>118</v>
      </c>
      <c r="B31" t="s">
        <v>34</v>
      </c>
      <c r="C31" t="s">
        <v>486</v>
      </c>
      <c r="D31" t="s">
        <v>15</v>
      </c>
      <c r="E31" t="s">
        <v>15</v>
      </c>
      <c r="F31" t="s">
        <v>15</v>
      </c>
      <c r="G31" t="s">
        <v>15</v>
      </c>
      <c r="H31" t="s">
        <v>390</v>
      </c>
      <c r="I31">
        <v>156000</v>
      </c>
    </row>
    <row r="32" spans="1:17" x14ac:dyDescent="0.25">
      <c r="A32" t="s">
        <v>139</v>
      </c>
      <c r="B32" t="s">
        <v>9</v>
      </c>
      <c r="C32" t="s">
        <v>487</v>
      </c>
      <c r="D32" t="s">
        <v>488</v>
      </c>
      <c r="E32" t="s">
        <v>489</v>
      </c>
      <c r="F32" t="s">
        <v>32</v>
      </c>
      <c r="G32" t="s">
        <v>227</v>
      </c>
      <c r="H32" t="s">
        <v>15</v>
      </c>
      <c r="I32">
        <v>20000</v>
      </c>
    </row>
    <row r="33" spans="1:9" x14ac:dyDescent="0.25">
      <c r="A33" t="s">
        <v>139</v>
      </c>
      <c r="B33" t="s">
        <v>16</v>
      </c>
      <c r="C33" t="s">
        <v>490</v>
      </c>
      <c r="D33" t="s">
        <v>491</v>
      </c>
      <c r="E33" t="s">
        <v>237</v>
      </c>
      <c r="F33" t="s">
        <v>492</v>
      </c>
      <c r="G33" t="s">
        <v>396</v>
      </c>
      <c r="H33" t="s">
        <v>15</v>
      </c>
      <c r="I33">
        <v>8600</v>
      </c>
    </row>
    <row r="34" spans="1:9" x14ac:dyDescent="0.25">
      <c r="A34" t="s">
        <v>139</v>
      </c>
      <c r="B34" t="s">
        <v>22</v>
      </c>
      <c r="C34" t="s">
        <v>493</v>
      </c>
      <c r="D34" t="s">
        <v>494</v>
      </c>
      <c r="E34" t="s">
        <v>134</v>
      </c>
      <c r="F34" t="s">
        <v>495</v>
      </c>
      <c r="G34" t="s">
        <v>153</v>
      </c>
      <c r="H34" t="s">
        <v>15</v>
      </c>
      <c r="I34">
        <v>14000</v>
      </c>
    </row>
    <row r="35" spans="1:9" x14ac:dyDescent="0.25">
      <c r="A35" t="s">
        <v>139</v>
      </c>
      <c r="B35" t="s">
        <v>28</v>
      </c>
      <c r="C35" t="s">
        <v>23</v>
      </c>
      <c r="D35" t="s">
        <v>496</v>
      </c>
      <c r="E35" t="s">
        <v>134</v>
      </c>
      <c r="F35" t="s">
        <v>156</v>
      </c>
      <c r="G35" t="s">
        <v>157</v>
      </c>
      <c r="H35" t="s">
        <v>15</v>
      </c>
      <c r="I35">
        <v>7900</v>
      </c>
    </row>
    <row r="36" spans="1:9" x14ac:dyDescent="0.25">
      <c r="A36" t="s">
        <v>139</v>
      </c>
      <c r="B36" t="s">
        <v>34</v>
      </c>
      <c r="C36" t="s">
        <v>497</v>
      </c>
      <c r="D36" t="s">
        <v>15</v>
      </c>
      <c r="E36" t="s">
        <v>15</v>
      </c>
      <c r="F36" t="s">
        <v>15</v>
      </c>
      <c r="G36" t="s">
        <v>15</v>
      </c>
      <c r="H36" t="s">
        <v>332</v>
      </c>
      <c r="I36">
        <v>51000</v>
      </c>
    </row>
    <row r="37" spans="1:9" x14ac:dyDescent="0.25">
      <c r="A37" t="s">
        <v>160</v>
      </c>
      <c r="B37" t="s">
        <v>161</v>
      </c>
      <c r="C37" t="s">
        <v>304</v>
      </c>
      <c r="D37" t="s">
        <v>498</v>
      </c>
      <c r="E37" t="s">
        <v>89</v>
      </c>
      <c r="F37" t="s">
        <v>499</v>
      </c>
      <c r="G37" t="s">
        <v>500</v>
      </c>
      <c r="H37" t="s">
        <v>499</v>
      </c>
      <c r="I37">
        <v>10000</v>
      </c>
    </row>
    <row r="38" spans="1:9" x14ac:dyDescent="0.25">
      <c r="A38" t="s">
        <v>167</v>
      </c>
      <c r="B38" t="s">
        <v>161</v>
      </c>
      <c r="C38">
        <v>728</v>
      </c>
      <c r="D38" t="s">
        <v>501</v>
      </c>
      <c r="E38" t="s">
        <v>502</v>
      </c>
      <c r="F38" t="s">
        <v>170</v>
      </c>
      <c r="G38" t="s">
        <v>503</v>
      </c>
      <c r="H38" t="s">
        <v>170</v>
      </c>
      <c r="I38">
        <v>728</v>
      </c>
    </row>
    <row r="39" spans="1:9" x14ac:dyDescent="0.25">
      <c r="A39" t="s">
        <v>172</v>
      </c>
      <c r="B39" t="s">
        <v>161</v>
      </c>
      <c r="C39">
        <v>302</v>
      </c>
      <c r="D39" t="s">
        <v>504</v>
      </c>
      <c r="E39" t="s">
        <v>298</v>
      </c>
      <c r="F39" t="s">
        <v>175</v>
      </c>
      <c r="G39" t="s">
        <v>175</v>
      </c>
      <c r="H39" t="s">
        <v>175</v>
      </c>
      <c r="I39">
        <v>302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23E7-9CAC-4934-8694-4164FE5A0CA2}">
  <dimension ref="A1:R39"/>
  <sheetViews>
    <sheetView workbookViewId="0">
      <selection activeCell="L9" sqref="L9:R19"/>
    </sheetView>
  </sheetViews>
  <sheetFormatPr defaultRowHeight="15" x14ac:dyDescent="0.25"/>
  <cols>
    <col min="9" max="9" width="10.5703125" bestFit="1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602</v>
      </c>
    </row>
    <row r="2" spans="1:18" x14ac:dyDescent="0.25">
      <c r="A2" t="s">
        <v>8</v>
      </c>
      <c r="B2" t="s">
        <v>9</v>
      </c>
      <c r="C2" t="s">
        <v>505</v>
      </c>
      <c r="D2" t="s">
        <v>506</v>
      </c>
      <c r="E2" t="s">
        <v>507</v>
      </c>
      <c r="F2" t="s">
        <v>20</v>
      </c>
      <c r="G2" t="s">
        <v>14</v>
      </c>
      <c r="H2" t="s">
        <v>15</v>
      </c>
      <c r="I2">
        <v>4600</v>
      </c>
    </row>
    <row r="3" spans="1:18" x14ac:dyDescent="0.25">
      <c r="A3" t="s">
        <v>8</v>
      </c>
      <c r="B3" t="s">
        <v>16</v>
      </c>
      <c r="C3" t="s">
        <v>508</v>
      </c>
      <c r="D3" t="s">
        <v>509</v>
      </c>
      <c r="E3" t="s">
        <v>510</v>
      </c>
      <c r="F3" t="s">
        <v>511</v>
      </c>
      <c r="G3" t="s">
        <v>21</v>
      </c>
      <c r="H3" t="s">
        <v>15</v>
      </c>
      <c r="I3">
        <v>5600</v>
      </c>
    </row>
    <row r="4" spans="1:18" x14ac:dyDescent="0.25">
      <c r="A4" t="s">
        <v>8</v>
      </c>
      <c r="B4" t="s">
        <v>22</v>
      </c>
      <c r="C4" t="s">
        <v>512</v>
      </c>
      <c r="D4" t="s">
        <v>513</v>
      </c>
      <c r="E4" t="s">
        <v>514</v>
      </c>
      <c r="F4" t="s">
        <v>515</v>
      </c>
      <c r="G4" t="s">
        <v>187</v>
      </c>
      <c r="H4" t="s">
        <v>15</v>
      </c>
      <c r="I4">
        <v>12000</v>
      </c>
    </row>
    <row r="5" spans="1:18" x14ac:dyDescent="0.25">
      <c r="A5" t="s">
        <v>8</v>
      </c>
      <c r="B5" t="s">
        <v>28</v>
      </c>
      <c r="C5" t="s">
        <v>307</v>
      </c>
      <c r="D5" t="s">
        <v>516</v>
      </c>
      <c r="E5" t="s">
        <v>517</v>
      </c>
      <c r="F5" t="s">
        <v>190</v>
      </c>
      <c r="G5" t="s">
        <v>191</v>
      </c>
      <c r="H5" t="s">
        <v>15</v>
      </c>
      <c r="I5">
        <v>23000</v>
      </c>
    </row>
    <row r="6" spans="1:18" x14ac:dyDescent="0.25">
      <c r="A6" t="s">
        <v>8</v>
      </c>
      <c r="B6" t="s">
        <v>34</v>
      </c>
      <c r="C6" t="s">
        <v>53</v>
      </c>
      <c r="D6" t="s">
        <v>15</v>
      </c>
      <c r="E6" t="s">
        <v>15</v>
      </c>
      <c r="F6" t="s">
        <v>15</v>
      </c>
      <c r="G6" t="s">
        <v>15</v>
      </c>
      <c r="H6" t="s">
        <v>193</v>
      </c>
      <c r="I6">
        <v>46000</v>
      </c>
    </row>
    <row r="7" spans="1:18" x14ac:dyDescent="0.25">
      <c r="A7" t="s">
        <v>37</v>
      </c>
      <c r="B7" t="s">
        <v>9</v>
      </c>
      <c r="C7" t="s">
        <v>275</v>
      </c>
      <c r="D7" t="s">
        <v>518</v>
      </c>
      <c r="E7" t="s">
        <v>189</v>
      </c>
      <c r="F7" t="s">
        <v>143</v>
      </c>
      <c r="G7" t="s">
        <v>198</v>
      </c>
      <c r="H7" t="s">
        <v>15</v>
      </c>
      <c r="I7">
        <v>62000</v>
      </c>
    </row>
    <row r="8" spans="1:18" x14ac:dyDescent="0.25">
      <c r="A8" t="s">
        <v>37</v>
      </c>
      <c r="B8" t="s">
        <v>16</v>
      </c>
      <c r="C8" t="s">
        <v>419</v>
      </c>
      <c r="D8" t="s">
        <v>519</v>
      </c>
      <c r="E8" t="s">
        <v>520</v>
      </c>
      <c r="F8" t="s">
        <v>159</v>
      </c>
      <c r="G8" t="s">
        <v>324</v>
      </c>
      <c r="H8" t="s">
        <v>15</v>
      </c>
      <c r="I8">
        <v>52000</v>
      </c>
    </row>
    <row r="9" spans="1:18" x14ac:dyDescent="0.25">
      <c r="A9" t="s">
        <v>37</v>
      </c>
      <c r="B9" t="s">
        <v>22</v>
      </c>
      <c r="C9" t="s">
        <v>521</v>
      </c>
      <c r="D9" t="s">
        <v>522</v>
      </c>
      <c r="E9" t="s">
        <v>50</v>
      </c>
      <c r="F9" t="s">
        <v>197</v>
      </c>
      <c r="G9" t="s">
        <v>523</v>
      </c>
      <c r="H9" t="s">
        <v>15</v>
      </c>
      <c r="I9">
        <v>56000</v>
      </c>
      <c r="L9" t="s">
        <v>601</v>
      </c>
      <c r="M9" t="s">
        <v>604</v>
      </c>
      <c r="N9" t="s">
        <v>0</v>
      </c>
      <c r="O9" t="s">
        <v>603</v>
      </c>
      <c r="P9" t="s">
        <v>605</v>
      </c>
      <c r="Q9" t="s">
        <v>606</v>
      </c>
      <c r="R9" t="s">
        <v>607</v>
      </c>
    </row>
    <row r="10" spans="1:18" x14ac:dyDescent="0.25">
      <c r="A10" t="s">
        <v>37</v>
      </c>
      <c r="B10" t="s">
        <v>28</v>
      </c>
      <c r="C10" t="s">
        <v>66</v>
      </c>
      <c r="D10" t="s">
        <v>524</v>
      </c>
      <c r="E10" t="s">
        <v>331</v>
      </c>
      <c r="F10" t="s">
        <v>64</v>
      </c>
      <c r="G10" t="s">
        <v>525</v>
      </c>
      <c r="H10" t="s">
        <v>15</v>
      </c>
      <c r="I10">
        <v>65000</v>
      </c>
      <c r="L10">
        <v>1352534</v>
      </c>
      <c r="M10">
        <v>1400</v>
      </c>
      <c r="N10" t="s">
        <v>8</v>
      </c>
      <c r="O10">
        <f>I6</f>
        <v>46000</v>
      </c>
      <c r="P10">
        <f t="shared" ref="P10:P19" si="0">(O10/$L$10*100)</f>
        <v>3.401023560221037</v>
      </c>
      <c r="Q10">
        <f>INT($M$10*(P10/100))</f>
        <v>47</v>
      </c>
      <c r="R10">
        <f>SUM(Q10:Q19)</f>
        <v>1400</v>
      </c>
    </row>
    <row r="11" spans="1:18" x14ac:dyDescent="0.25">
      <c r="A11" t="s">
        <v>37</v>
      </c>
      <c r="B11" t="s">
        <v>34</v>
      </c>
      <c r="C11" t="s">
        <v>526</v>
      </c>
      <c r="D11" t="s">
        <v>15</v>
      </c>
      <c r="E11" t="s">
        <v>15</v>
      </c>
      <c r="F11" t="s">
        <v>15</v>
      </c>
      <c r="G11" t="s">
        <v>15</v>
      </c>
      <c r="H11" t="s">
        <v>117</v>
      </c>
      <c r="I11">
        <v>235000</v>
      </c>
      <c r="N11" t="s">
        <v>37</v>
      </c>
      <c r="O11">
        <f>I11</f>
        <v>235000</v>
      </c>
      <c r="P11">
        <f t="shared" si="0"/>
        <v>17.374794275042255</v>
      </c>
      <c r="Q11">
        <f t="shared" ref="Q11:Q17" si="1">INT($M$10*(P11/100))</f>
        <v>243</v>
      </c>
    </row>
    <row r="12" spans="1:18" x14ac:dyDescent="0.25">
      <c r="A12" t="s">
        <v>60</v>
      </c>
      <c r="B12" t="s">
        <v>9</v>
      </c>
      <c r="C12" t="s">
        <v>438</v>
      </c>
      <c r="D12" t="s">
        <v>527</v>
      </c>
      <c r="E12" t="s">
        <v>528</v>
      </c>
      <c r="F12" t="s">
        <v>219</v>
      </c>
      <c r="G12" t="s">
        <v>529</v>
      </c>
      <c r="H12" t="s">
        <v>15</v>
      </c>
      <c r="I12">
        <v>73000</v>
      </c>
      <c r="N12" t="s">
        <v>60</v>
      </c>
      <c r="O12">
        <f>I16</f>
        <v>282000</v>
      </c>
      <c r="P12">
        <f t="shared" si="0"/>
        <v>20.849753130050704</v>
      </c>
      <c r="Q12">
        <f t="shared" si="1"/>
        <v>291</v>
      </c>
    </row>
    <row r="13" spans="1:18" x14ac:dyDescent="0.25">
      <c r="A13" t="s">
        <v>60</v>
      </c>
      <c r="B13" t="s">
        <v>16</v>
      </c>
      <c r="C13" t="s">
        <v>66</v>
      </c>
      <c r="D13" t="s">
        <v>530</v>
      </c>
      <c r="E13" t="s">
        <v>432</v>
      </c>
      <c r="F13" t="s">
        <v>64</v>
      </c>
      <c r="G13" t="s">
        <v>531</v>
      </c>
      <c r="H13" t="s">
        <v>15</v>
      </c>
      <c r="I13">
        <v>65000</v>
      </c>
      <c r="N13" t="s">
        <v>83</v>
      </c>
      <c r="O13">
        <f>I21</f>
        <v>308000</v>
      </c>
      <c r="P13">
        <f t="shared" si="0"/>
        <v>22.772070794523465</v>
      </c>
      <c r="Q13">
        <f t="shared" si="1"/>
        <v>318</v>
      </c>
    </row>
    <row r="14" spans="1:18" x14ac:dyDescent="0.25">
      <c r="A14" t="s">
        <v>60</v>
      </c>
      <c r="B14" t="s">
        <v>22</v>
      </c>
      <c r="C14" t="s">
        <v>521</v>
      </c>
      <c r="D14" t="s">
        <v>532</v>
      </c>
      <c r="E14" t="s">
        <v>533</v>
      </c>
      <c r="F14" t="s">
        <v>197</v>
      </c>
      <c r="G14" t="s">
        <v>534</v>
      </c>
      <c r="H14" t="s">
        <v>15</v>
      </c>
      <c r="I14">
        <v>56000</v>
      </c>
      <c r="N14" t="s">
        <v>99</v>
      </c>
      <c r="O14">
        <f>I26</f>
        <v>248000</v>
      </c>
      <c r="P14">
        <f t="shared" si="0"/>
        <v>18.335953107278634</v>
      </c>
      <c r="Q14">
        <f t="shared" si="1"/>
        <v>256</v>
      </c>
    </row>
    <row r="15" spans="1:18" x14ac:dyDescent="0.25">
      <c r="A15" t="s">
        <v>60</v>
      </c>
      <c r="B15" t="s">
        <v>28</v>
      </c>
      <c r="C15" t="s">
        <v>535</v>
      </c>
      <c r="D15" t="s">
        <v>536</v>
      </c>
      <c r="E15" t="s">
        <v>346</v>
      </c>
      <c r="F15" t="s">
        <v>537</v>
      </c>
      <c r="G15" t="s">
        <v>538</v>
      </c>
      <c r="H15" t="s">
        <v>15</v>
      </c>
      <c r="I15">
        <v>88000</v>
      </c>
      <c r="N15" t="s">
        <v>118</v>
      </c>
      <c r="O15">
        <f>I31</f>
        <v>167000</v>
      </c>
      <c r="P15">
        <f t="shared" si="0"/>
        <v>12.347194229498113</v>
      </c>
      <c r="Q15">
        <f t="shared" si="1"/>
        <v>172</v>
      </c>
    </row>
    <row r="16" spans="1:18" x14ac:dyDescent="0.25">
      <c r="A16" t="s">
        <v>60</v>
      </c>
      <c r="B16" t="s">
        <v>34</v>
      </c>
      <c r="C16" t="s">
        <v>539</v>
      </c>
      <c r="D16" t="s">
        <v>15</v>
      </c>
      <c r="E16" t="s">
        <v>15</v>
      </c>
      <c r="F16" t="s">
        <v>15</v>
      </c>
      <c r="G16" t="s">
        <v>15</v>
      </c>
      <c r="H16" t="s">
        <v>540</v>
      </c>
      <c r="I16">
        <v>282000</v>
      </c>
      <c r="N16" t="s">
        <v>139</v>
      </c>
      <c r="O16">
        <f>I36</f>
        <v>56000</v>
      </c>
      <c r="P16">
        <f t="shared" si="0"/>
        <v>4.1403765080951755</v>
      </c>
      <c r="Q16">
        <f t="shared" si="1"/>
        <v>57</v>
      </c>
    </row>
    <row r="17" spans="1:17" x14ac:dyDescent="0.25">
      <c r="A17" t="s">
        <v>83</v>
      </c>
      <c r="B17" t="s">
        <v>9</v>
      </c>
      <c r="C17" t="s">
        <v>541</v>
      </c>
      <c r="D17" t="s">
        <v>542</v>
      </c>
      <c r="E17" t="s">
        <v>346</v>
      </c>
      <c r="F17" t="s">
        <v>367</v>
      </c>
      <c r="G17" t="s">
        <v>543</v>
      </c>
      <c r="H17" t="s">
        <v>15</v>
      </c>
      <c r="I17">
        <v>99000</v>
      </c>
      <c r="N17" t="s">
        <v>160</v>
      </c>
      <c r="O17">
        <f>I37</f>
        <v>11000</v>
      </c>
      <c r="P17">
        <f t="shared" si="0"/>
        <v>0.81328824266155231</v>
      </c>
      <c r="Q17">
        <f t="shared" si="1"/>
        <v>11</v>
      </c>
    </row>
    <row r="18" spans="1:17" x14ac:dyDescent="0.25">
      <c r="A18" t="s">
        <v>83</v>
      </c>
      <c r="B18" t="s">
        <v>16</v>
      </c>
      <c r="C18" t="s">
        <v>544</v>
      </c>
      <c r="D18" t="s">
        <v>545</v>
      </c>
      <c r="E18" t="s">
        <v>352</v>
      </c>
      <c r="F18" t="s">
        <v>241</v>
      </c>
      <c r="G18" t="s">
        <v>126</v>
      </c>
      <c r="H18" t="s">
        <v>15</v>
      </c>
      <c r="I18">
        <v>75000</v>
      </c>
      <c r="N18" t="s">
        <v>167</v>
      </c>
      <c r="O18">
        <f>I38</f>
        <v>539000</v>
      </c>
      <c r="P18">
        <f t="shared" si="0"/>
        <v>39.851123890416062</v>
      </c>
      <c r="Q18">
        <v>3</v>
      </c>
    </row>
    <row r="19" spans="1:17" x14ac:dyDescent="0.25">
      <c r="A19" t="s">
        <v>83</v>
      </c>
      <c r="B19" t="s">
        <v>22</v>
      </c>
      <c r="C19" t="s">
        <v>428</v>
      </c>
      <c r="D19" t="s">
        <v>546</v>
      </c>
      <c r="E19" t="s">
        <v>357</v>
      </c>
      <c r="F19" t="s">
        <v>423</v>
      </c>
      <c r="G19" t="s">
        <v>547</v>
      </c>
      <c r="H19" t="s">
        <v>15</v>
      </c>
      <c r="I19">
        <v>58000</v>
      </c>
      <c r="N19" t="s">
        <v>172</v>
      </c>
      <c r="O19">
        <f>I39</f>
        <v>202000</v>
      </c>
      <c r="P19">
        <f t="shared" si="0"/>
        <v>14.934929547057596</v>
      </c>
      <c r="Q19">
        <v>2</v>
      </c>
    </row>
    <row r="20" spans="1:17" x14ac:dyDescent="0.25">
      <c r="A20" t="s">
        <v>83</v>
      </c>
      <c r="B20" t="s">
        <v>28</v>
      </c>
      <c r="C20" t="s">
        <v>548</v>
      </c>
      <c r="D20" t="s">
        <v>549</v>
      </c>
      <c r="E20" t="s">
        <v>94</v>
      </c>
      <c r="F20" t="s">
        <v>74</v>
      </c>
      <c r="G20" t="s">
        <v>514</v>
      </c>
      <c r="H20" t="s">
        <v>15</v>
      </c>
      <c r="I20">
        <v>77000</v>
      </c>
    </row>
    <row r="21" spans="1:17" x14ac:dyDescent="0.25">
      <c r="A21" t="s">
        <v>83</v>
      </c>
      <c r="B21" t="s">
        <v>34</v>
      </c>
      <c r="C21" t="s">
        <v>550</v>
      </c>
      <c r="D21" t="s">
        <v>15</v>
      </c>
      <c r="E21" t="s">
        <v>15</v>
      </c>
      <c r="F21" t="s">
        <v>15</v>
      </c>
      <c r="G21" t="s">
        <v>15</v>
      </c>
      <c r="H21" t="s">
        <v>551</v>
      </c>
      <c r="I21">
        <v>308000</v>
      </c>
    </row>
    <row r="22" spans="1:17" x14ac:dyDescent="0.25">
      <c r="A22" t="s">
        <v>99</v>
      </c>
      <c r="B22" t="s">
        <v>9</v>
      </c>
      <c r="C22" t="s">
        <v>548</v>
      </c>
      <c r="D22" t="s">
        <v>552</v>
      </c>
      <c r="E22" t="s">
        <v>102</v>
      </c>
      <c r="F22" t="s">
        <v>74</v>
      </c>
      <c r="G22" t="s">
        <v>553</v>
      </c>
      <c r="H22" t="s">
        <v>15</v>
      </c>
      <c r="I22">
        <v>77000</v>
      </c>
    </row>
    <row r="23" spans="1:17" x14ac:dyDescent="0.25">
      <c r="A23" t="s">
        <v>99</v>
      </c>
      <c r="B23" t="s">
        <v>16</v>
      </c>
      <c r="C23" t="s">
        <v>554</v>
      </c>
      <c r="D23" t="s">
        <v>555</v>
      </c>
      <c r="E23" t="s">
        <v>556</v>
      </c>
      <c r="F23" t="s">
        <v>241</v>
      </c>
      <c r="G23" t="s">
        <v>557</v>
      </c>
      <c r="H23" t="s">
        <v>15</v>
      </c>
      <c r="I23">
        <v>74000</v>
      </c>
    </row>
    <row r="24" spans="1:17" x14ac:dyDescent="0.25">
      <c r="A24" t="s">
        <v>99</v>
      </c>
      <c r="B24" t="s">
        <v>22</v>
      </c>
      <c r="C24" t="s">
        <v>419</v>
      </c>
      <c r="D24" t="s">
        <v>558</v>
      </c>
      <c r="E24" t="s">
        <v>113</v>
      </c>
      <c r="F24" t="s">
        <v>51</v>
      </c>
      <c r="G24" t="s">
        <v>559</v>
      </c>
      <c r="H24" t="s">
        <v>15</v>
      </c>
      <c r="I24">
        <v>52000</v>
      </c>
    </row>
    <row r="25" spans="1:17" x14ac:dyDescent="0.25">
      <c r="A25" t="s">
        <v>99</v>
      </c>
      <c r="B25" t="s">
        <v>28</v>
      </c>
      <c r="C25" t="s">
        <v>38</v>
      </c>
      <c r="D25" t="s">
        <v>560</v>
      </c>
      <c r="E25" t="s">
        <v>263</v>
      </c>
      <c r="F25" t="s">
        <v>561</v>
      </c>
      <c r="G25" t="s">
        <v>562</v>
      </c>
      <c r="H25" t="s">
        <v>15</v>
      </c>
      <c r="I25">
        <v>44000</v>
      </c>
    </row>
    <row r="26" spans="1:17" x14ac:dyDescent="0.25">
      <c r="A26" t="s">
        <v>99</v>
      </c>
      <c r="B26" t="s">
        <v>34</v>
      </c>
      <c r="C26" t="s">
        <v>97</v>
      </c>
      <c r="D26" t="s">
        <v>15</v>
      </c>
      <c r="E26" t="s">
        <v>15</v>
      </c>
      <c r="F26" t="s">
        <v>15</v>
      </c>
      <c r="G26" t="s">
        <v>15</v>
      </c>
      <c r="H26" t="s">
        <v>563</v>
      </c>
      <c r="I26">
        <v>248000</v>
      </c>
    </row>
    <row r="27" spans="1:17" x14ac:dyDescent="0.25">
      <c r="A27" t="s">
        <v>118</v>
      </c>
      <c r="B27" t="s">
        <v>9</v>
      </c>
      <c r="C27" t="s">
        <v>521</v>
      </c>
      <c r="D27" t="s">
        <v>564</v>
      </c>
      <c r="E27" t="s">
        <v>130</v>
      </c>
      <c r="F27" t="s">
        <v>41</v>
      </c>
      <c r="G27" t="s">
        <v>117</v>
      </c>
      <c r="H27" t="s">
        <v>15</v>
      </c>
      <c r="I27">
        <v>56000</v>
      </c>
    </row>
    <row r="28" spans="1:17" x14ac:dyDescent="0.25">
      <c r="A28" t="s">
        <v>118</v>
      </c>
      <c r="B28" t="s">
        <v>16</v>
      </c>
      <c r="C28" t="s">
        <v>565</v>
      </c>
      <c r="D28" t="s">
        <v>566</v>
      </c>
      <c r="E28" t="s">
        <v>130</v>
      </c>
      <c r="F28" t="s">
        <v>193</v>
      </c>
      <c r="G28" t="s">
        <v>384</v>
      </c>
      <c r="H28" t="s">
        <v>15</v>
      </c>
      <c r="I28">
        <v>45000</v>
      </c>
    </row>
    <row r="29" spans="1:17" x14ac:dyDescent="0.25">
      <c r="A29" t="s">
        <v>118</v>
      </c>
      <c r="B29" t="s">
        <v>22</v>
      </c>
      <c r="C29" t="s">
        <v>111</v>
      </c>
      <c r="D29" t="s">
        <v>567</v>
      </c>
      <c r="E29" t="s">
        <v>283</v>
      </c>
      <c r="F29" t="s">
        <v>131</v>
      </c>
      <c r="G29" t="s">
        <v>568</v>
      </c>
      <c r="H29" t="s">
        <v>15</v>
      </c>
      <c r="I29">
        <v>28000</v>
      </c>
    </row>
    <row r="30" spans="1:17" x14ac:dyDescent="0.25">
      <c r="A30" t="s">
        <v>118</v>
      </c>
      <c r="B30" t="s">
        <v>28</v>
      </c>
      <c r="C30" t="s">
        <v>473</v>
      </c>
      <c r="D30" t="s">
        <v>569</v>
      </c>
      <c r="E30" t="s">
        <v>391</v>
      </c>
      <c r="F30" t="s">
        <v>36</v>
      </c>
      <c r="G30" t="s">
        <v>570</v>
      </c>
      <c r="H30" t="s">
        <v>15</v>
      </c>
      <c r="I30">
        <v>37000</v>
      </c>
    </row>
    <row r="31" spans="1:17" x14ac:dyDescent="0.25">
      <c r="A31" t="s">
        <v>118</v>
      </c>
      <c r="B31" t="s">
        <v>34</v>
      </c>
      <c r="C31" t="s">
        <v>216</v>
      </c>
      <c r="D31" t="s">
        <v>15</v>
      </c>
      <c r="E31" t="s">
        <v>15</v>
      </c>
      <c r="F31" t="s">
        <v>15</v>
      </c>
      <c r="G31" t="s">
        <v>15</v>
      </c>
      <c r="H31" t="s">
        <v>127</v>
      </c>
      <c r="I31">
        <v>167000</v>
      </c>
    </row>
    <row r="32" spans="1:17" x14ac:dyDescent="0.25">
      <c r="A32" t="s">
        <v>139</v>
      </c>
      <c r="B32" t="s">
        <v>9</v>
      </c>
      <c r="C32" t="s">
        <v>307</v>
      </c>
      <c r="D32" t="s">
        <v>571</v>
      </c>
      <c r="E32" t="s">
        <v>572</v>
      </c>
      <c r="F32" t="s">
        <v>190</v>
      </c>
      <c r="G32" t="s">
        <v>122</v>
      </c>
      <c r="H32" t="s">
        <v>15</v>
      </c>
      <c r="I32">
        <v>23000</v>
      </c>
    </row>
    <row r="33" spans="1:9" x14ac:dyDescent="0.25">
      <c r="A33" t="s">
        <v>139</v>
      </c>
      <c r="B33" t="s">
        <v>16</v>
      </c>
      <c r="C33" t="s">
        <v>573</v>
      </c>
      <c r="D33" t="s">
        <v>574</v>
      </c>
      <c r="E33" t="s">
        <v>142</v>
      </c>
      <c r="F33" t="s">
        <v>575</v>
      </c>
      <c r="G33" t="s">
        <v>561</v>
      </c>
      <c r="H33" t="s">
        <v>15</v>
      </c>
      <c r="I33">
        <v>9300</v>
      </c>
    </row>
    <row r="34" spans="1:9" x14ac:dyDescent="0.25">
      <c r="A34" t="s">
        <v>139</v>
      </c>
      <c r="B34" t="s">
        <v>22</v>
      </c>
      <c r="C34" t="s">
        <v>29</v>
      </c>
      <c r="D34" t="s">
        <v>576</v>
      </c>
      <c r="E34" t="s">
        <v>395</v>
      </c>
      <c r="F34" t="s">
        <v>287</v>
      </c>
      <c r="G34" t="s">
        <v>270</v>
      </c>
      <c r="H34" t="s">
        <v>15</v>
      </c>
      <c r="I34">
        <v>15000</v>
      </c>
    </row>
    <row r="35" spans="1:9" x14ac:dyDescent="0.25">
      <c r="A35" t="s">
        <v>139</v>
      </c>
      <c r="B35" t="s">
        <v>28</v>
      </c>
      <c r="C35" t="s">
        <v>577</v>
      </c>
      <c r="D35" t="s">
        <v>578</v>
      </c>
      <c r="E35" t="s">
        <v>395</v>
      </c>
      <c r="F35" t="s">
        <v>579</v>
      </c>
      <c r="G35" t="s">
        <v>32</v>
      </c>
      <c r="H35" t="s">
        <v>15</v>
      </c>
      <c r="I35">
        <v>8500</v>
      </c>
    </row>
    <row r="36" spans="1:9" x14ac:dyDescent="0.25">
      <c r="A36" t="s">
        <v>139</v>
      </c>
      <c r="B36" t="s">
        <v>34</v>
      </c>
      <c r="C36" t="s">
        <v>521</v>
      </c>
      <c r="D36" t="s">
        <v>15</v>
      </c>
      <c r="E36" t="s">
        <v>15</v>
      </c>
      <c r="F36" t="s">
        <v>15</v>
      </c>
      <c r="G36" t="s">
        <v>15</v>
      </c>
      <c r="H36" t="s">
        <v>197</v>
      </c>
      <c r="I36">
        <v>56000</v>
      </c>
    </row>
    <row r="37" spans="1:9" x14ac:dyDescent="0.25">
      <c r="A37" t="s">
        <v>160</v>
      </c>
      <c r="B37" t="s">
        <v>161</v>
      </c>
      <c r="C37" t="s">
        <v>149</v>
      </c>
      <c r="D37" t="s">
        <v>580</v>
      </c>
      <c r="E37" t="s">
        <v>391</v>
      </c>
      <c r="F37" t="s">
        <v>581</v>
      </c>
      <c r="G37" t="s">
        <v>582</v>
      </c>
      <c r="H37" t="s">
        <v>581</v>
      </c>
      <c r="I37">
        <v>11000</v>
      </c>
    </row>
    <row r="38" spans="1:9" x14ac:dyDescent="0.25">
      <c r="A38" t="s">
        <v>167</v>
      </c>
      <c r="B38" t="s">
        <v>161</v>
      </c>
      <c r="C38">
        <v>539</v>
      </c>
      <c r="D38" t="s">
        <v>583</v>
      </c>
      <c r="E38" t="s">
        <v>584</v>
      </c>
      <c r="F38" t="s">
        <v>403</v>
      </c>
      <c r="G38" t="s">
        <v>170</v>
      </c>
      <c r="H38" t="s">
        <v>403</v>
      </c>
      <c r="I38">
        <v>539000</v>
      </c>
    </row>
    <row r="39" spans="1:9" x14ac:dyDescent="0.25">
      <c r="A39" t="s">
        <v>172</v>
      </c>
      <c r="B39" t="s">
        <v>161</v>
      </c>
      <c r="C39">
        <v>202</v>
      </c>
      <c r="D39" t="s">
        <v>585</v>
      </c>
      <c r="E39" t="s">
        <v>586</v>
      </c>
      <c r="F39" t="s">
        <v>406</v>
      </c>
      <c r="G39" t="s">
        <v>406</v>
      </c>
      <c r="H39" t="s">
        <v>406</v>
      </c>
      <c r="I39">
        <v>202000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1953-4618-480B-A4F5-775062C20813}">
  <dimension ref="A1:R39"/>
  <sheetViews>
    <sheetView zoomScaleNormal="100" workbookViewId="0">
      <selection activeCell="I37" sqref="I37"/>
    </sheetView>
  </sheetViews>
  <sheetFormatPr defaultRowHeight="15" x14ac:dyDescent="0.25"/>
  <cols>
    <col min="1" max="1" width="12.5703125" bestFit="1" customWidth="1"/>
    <col min="12" max="12" width="14.7109375" bestFit="1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>
        <v>15000</v>
      </c>
    </row>
    <row r="2" spans="1:1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3000</v>
      </c>
    </row>
    <row r="3" spans="1:1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I3">
        <v>3600</v>
      </c>
    </row>
    <row r="4" spans="1:18" x14ac:dyDescent="0.25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  <c r="I4">
        <v>7900</v>
      </c>
    </row>
    <row r="5" spans="1:18" x14ac:dyDescent="0.25">
      <c r="A5" t="s">
        <v>8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15</v>
      </c>
      <c r="I5">
        <v>15000</v>
      </c>
    </row>
    <row r="6" spans="1:18" x14ac:dyDescent="0.25">
      <c r="A6" t="s">
        <v>8</v>
      </c>
      <c r="B6" t="s">
        <v>34</v>
      </c>
      <c r="C6" t="s">
        <v>35</v>
      </c>
      <c r="D6" t="s">
        <v>15</v>
      </c>
      <c r="E6" t="s">
        <v>15</v>
      </c>
      <c r="F6" t="s">
        <v>15</v>
      </c>
      <c r="G6" t="s">
        <v>15</v>
      </c>
      <c r="H6" t="s">
        <v>36</v>
      </c>
      <c r="I6">
        <v>30000</v>
      </c>
    </row>
    <row r="7" spans="1:18" x14ac:dyDescent="0.25">
      <c r="A7" t="s">
        <v>37</v>
      </c>
      <c r="B7" t="s">
        <v>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>
        <v>15000</v>
      </c>
    </row>
    <row r="8" spans="1:18" x14ac:dyDescent="0.25">
      <c r="A8" t="s">
        <v>37</v>
      </c>
      <c r="B8" t="s">
        <v>16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15</v>
      </c>
      <c r="I8">
        <v>15000</v>
      </c>
    </row>
    <row r="9" spans="1:18" x14ac:dyDescent="0.25">
      <c r="A9" t="s">
        <v>37</v>
      </c>
      <c r="B9" t="s">
        <v>22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15</v>
      </c>
      <c r="I9">
        <v>15000</v>
      </c>
      <c r="L9" t="s">
        <v>601</v>
      </c>
      <c r="M9" t="s">
        <v>604</v>
      </c>
      <c r="N9" t="s">
        <v>0</v>
      </c>
      <c r="O9" t="s">
        <v>603</v>
      </c>
      <c r="P9" t="s">
        <v>605</v>
      </c>
      <c r="Q9" t="s">
        <v>606</v>
      </c>
      <c r="R9" t="s">
        <v>607</v>
      </c>
    </row>
    <row r="10" spans="1:18" x14ac:dyDescent="0.25">
      <c r="A10" t="s">
        <v>37</v>
      </c>
      <c r="B10" t="s">
        <v>28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15</v>
      </c>
      <c r="I10">
        <v>15000</v>
      </c>
      <c r="L10">
        <v>1054597</v>
      </c>
      <c r="M10">
        <v>1100</v>
      </c>
      <c r="N10" t="s">
        <v>8</v>
      </c>
      <c r="O10">
        <f>I6</f>
        <v>30000</v>
      </c>
      <c r="P10">
        <f t="shared" ref="P10:P19" si="0">(O10/$L$10*100)</f>
        <v>2.8446885397929256</v>
      </c>
      <c r="Q10">
        <f>INT($M$10*(P10/100))</f>
        <v>31</v>
      </c>
      <c r="R10">
        <f>SUM(Q10:Q19)</f>
        <v>1100</v>
      </c>
    </row>
    <row r="11" spans="1:18" x14ac:dyDescent="0.25">
      <c r="A11" t="s">
        <v>37</v>
      </c>
      <c r="B11" t="s">
        <v>34</v>
      </c>
      <c r="C11" t="s">
        <v>58</v>
      </c>
      <c r="D11" t="s">
        <v>15</v>
      </c>
      <c r="E11" t="s">
        <v>15</v>
      </c>
      <c r="F11" t="s">
        <v>15</v>
      </c>
      <c r="G11" t="s">
        <v>15</v>
      </c>
      <c r="H11" t="s">
        <v>59</v>
      </c>
      <c r="I11">
        <v>170000</v>
      </c>
      <c r="N11" t="s">
        <v>37</v>
      </c>
      <c r="O11">
        <f>I11</f>
        <v>170000</v>
      </c>
      <c r="P11">
        <f t="shared" si="0"/>
        <v>16.119901725493246</v>
      </c>
      <c r="Q11">
        <f t="shared" ref="Q11:Q17" si="1">INT($M$10*(P11/100))</f>
        <v>177</v>
      </c>
    </row>
    <row r="12" spans="1:18" x14ac:dyDescent="0.25">
      <c r="A12" t="s">
        <v>60</v>
      </c>
      <c r="B12" t="s">
        <v>9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15</v>
      </c>
      <c r="I12">
        <v>15000</v>
      </c>
      <c r="N12" t="s">
        <v>60</v>
      </c>
      <c r="O12">
        <f>I16</f>
        <v>241000</v>
      </c>
      <c r="P12">
        <f t="shared" si="0"/>
        <v>22.852331269669836</v>
      </c>
      <c r="Q12">
        <f t="shared" si="1"/>
        <v>251</v>
      </c>
    </row>
    <row r="13" spans="1:18" x14ac:dyDescent="0.25">
      <c r="A13" t="s">
        <v>60</v>
      </c>
      <c r="B13" t="s">
        <v>16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15</v>
      </c>
      <c r="I13">
        <v>15000</v>
      </c>
      <c r="N13" t="s">
        <v>83</v>
      </c>
      <c r="O13">
        <f>I21</f>
        <v>248000</v>
      </c>
      <c r="P13">
        <f t="shared" si="0"/>
        <v>23.51609192895485</v>
      </c>
      <c r="Q13">
        <f t="shared" si="1"/>
        <v>258</v>
      </c>
    </row>
    <row r="14" spans="1:18" x14ac:dyDescent="0.25">
      <c r="A14" t="s">
        <v>60</v>
      </c>
      <c r="B14" t="s">
        <v>22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15</v>
      </c>
      <c r="I14">
        <v>15000</v>
      </c>
      <c r="N14" t="s">
        <v>99</v>
      </c>
      <c r="O14">
        <f>I26</f>
        <v>183000</v>
      </c>
      <c r="P14">
        <f t="shared" si="0"/>
        <v>17.352600092736846</v>
      </c>
      <c r="Q14">
        <f t="shared" si="1"/>
        <v>190</v>
      </c>
    </row>
    <row r="15" spans="1:18" x14ac:dyDescent="0.25">
      <c r="A15" t="s">
        <v>60</v>
      </c>
      <c r="B15" t="s">
        <v>28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15</v>
      </c>
      <c r="I15">
        <v>15000</v>
      </c>
      <c r="N15" t="s">
        <v>118</v>
      </c>
      <c r="O15">
        <f>I31</f>
        <v>134000</v>
      </c>
      <c r="P15">
        <f t="shared" si="0"/>
        <v>12.706275477741736</v>
      </c>
      <c r="Q15">
        <f t="shared" si="1"/>
        <v>139</v>
      </c>
    </row>
    <row r="16" spans="1:18" x14ac:dyDescent="0.25">
      <c r="A16" t="s">
        <v>60</v>
      </c>
      <c r="B16" t="s">
        <v>34</v>
      </c>
      <c r="C16" t="s">
        <v>81</v>
      </c>
      <c r="D16" t="s">
        <v>15</v>
      </c>
      <c r="E16" t="s">
        <v>15</v>
      </c>
      <c r="F16" t="s">
        <v>15</v>
      </c>
      <c r="G16" t="s">
        <v>15</v>
      </c>
      <c r="H16" t="s">
        <v>82</v>
      </c>
      <c r="I16">
        <v>241000</v>
      </c>
      <c r="N16" t="s">
        <v>139</v>
      </c>
      <c r="O16">
        <f>I36</f>
        <v>40000</v>
      </c>
      <c r="P16">
        <f t="shared" si="0"/>
        <v>3.7929180530572344</v>
      </c>
      <c r="Q16">
        <f t="shared" si="1"/>
        <v>41</v>
      </c>
    </row>
    <row r="17" spans="1:17" x14ac:dyDescent="0.25">
      <c r="A17" t="s">
        <v>83</v>
      </c>
      <c r="B17" t="s">
        <v>9</v>
      </c>
      <c r="C17" t="s">
        <v>84</v>
      </c>
      <c r="D17" t="s">
        <v>85</v>
      </c>
      <c r="E17" t="s">
        <v>78</v>
      </c>
      <c r="F17" t="s">
        <v>79</v>
      </c>
      <c r="G17" t="s">
        <v>86</v>
      </c>
      <c r="H17" t="s">
        <v>15</v>
      </c>
      <c r="I17">
        <v>15000</v>
      </c>
      <c r="N17" t="s">
        <v>160</v>
      </c>
      <c r="O17">
        <f>I37</f>
        <v>8100</v>
      </c>
      <c r="P17">
        <f t="shared" si="0"/>
        <v>0.76806590574408995</v>
      </c>
      <c r="Q17">
        <f t="shared" si="1"/>
        <v>8</v>
      </c>
    </row>
    <row r="18" spans="1:17" x14ac:dyDescent="0.25">
      <c r="A18" t="s">
        <v>83</v>
      </c>
      <c r="B18" t="s">
        <v>16</v>
      </c>
      <c r="C18" t="s">
        <v>71</v>
      </c>
      <c r="D18" t="s">
        <v>87</v>
      </c>
      <c r="E18" t="s">
        <v>88</v>
      </c>
      <c r="F18" t="s">
        <v>74</v>
      </c>
      <c r="G18" t="s">
        <v>89</v>
      </c>
      <c r="H18" t="s">
        <v>15</v>
      </c>
      <c r="I18">
        <v>15000</v>
      </c>
      <c r="N18" t="s">
        <v>167</v>
      </c>
      <c r="O18">
        <f>I38</f>
        <v>523</v>
      </c>
      <c r="P18">
        <f t="shared" si="0"/>
        <v>4.9592403543723337E-2</v>
      </c>
      <c r="Q18">
        <v>3</v>
      </c>
    </row>
    <row r="19" spans="1:17" x14ac:dyDescent="0.25">
      <c r="A19" t="s">
        <v>83</v>
      </c>
      <c r="B19" t="s">
        <v>22</v>
      </c>
      <c r="C19" t="s">
        <v>76</v>
      </c>
      <c r="D19" t="s">
        <v>90</v>
      </c>
      <c r="E19" t="s">
        <v>91</v>
      </c>
      <c r="F19" t="s">
        <v>79</v>
      </c>
      <c r="G19" t="s">
        <v>45</v>
      </c>
      <c r="H19" t="s">
        <v>15</v>
      </c>
      <c r="I19">
        <v>15000</v>
      </c>
      <c r="N19" t="s">
        <v>172</v>
      </c>
      <c r="O19">
        <f>I39</f>
        <v>203</v>
      </c>
      <c r="P19">
        <f t="shared" si="0"/>
        <v>1.9249059119265464E-2</v>
      </c>
      <c r="Q19">
        <v>2</v>
      </c>
    </row>
    <row r="20" spans="1:17" x14ac:dyDescent="0.25">
      <c r="A20" t="s">
        <v>83</v>
      </c>
      <c r="B20" t="s">
        <v>28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 t="s">
        <v>15</v>
      </c>
      <c r="I20">
        <v>15000</v>
      </c>
    </row>
    <row r="21" spans="1:17" x14ac:dyDescent="0.25">
      <c r="A21" t="s">
        <v>83</v>
      </c>
      <c r="B21" t="s">
        <v>34</v>
      </c>
      <c r="C21" t="s">
        <v>97</v>
      </c>
      <c r="D21" t="s">
        <v>15</v>
      </c>
      <c r="E21" t="s">
        <v>15</v>
      </c>
      <c r="F21" t="s">
        <v>15</v>
      </c>
      <c r="G21" t="s">
        <v>15</v>
      </c>
      <c r="H21" t="s">
        <v>98</v>
      </c>
      <c r="I21">
        <v>248000</v>
      </c>
    </row>
    <row r="22" spans="1:17" x14ac:dyDescent="0.25">
      <c r="A22" t="s">
        <v>99</v>
      </c>
      <c r="B22" t="s">
        <v>9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  <c r="H22" t="s">
        <v>15</v>
      </c>
      <c r="I22">
        <v>15000</v>
      </c>
    </row>
    <row r="23" spans="1:17" x14ac:dyDescent="0.25">
      <c r="A23" t="s">
        <v>99</v>
      </c>
      <c r="B23" t="s">
        <v>16</v>
      </c>
      <c r="C23" t="s">
        <v>71</v>
      </c>
      <c r="D23" t="s">
        <v>105</v>
      </c>
      <c r="E23" t="s">
        <v>102</v>
      </c>
      <c r="F23" t="s">
        <v>74</v>
      </c>
      <c r="G23" t="s">
        <v>106</v>
      </c>
      <c r="H23" t="s">
        <v>15</v>
      </c>
      <c r="I23">
        <v>15000</v>
      </c>
    </row>
    <row r="24" spans="1:17" x14ac:dyDescent="0.25">
      <c r="A24" t="s">
        <v>99</v>
      </c>
      <c r="B24" t="s">
        <v>22</v>
      </c>
      <c r="C24" t="s">
        <v>107</v>
      </c>
      <c r="D24" t="s">
        <v>108</v>
      </c>
      <c r="E24" t="s">
        <v>109</v>
      </c>
      <c r="F24" t="s">
        <v>51</v>
      </c>
      <c r="G24" t="s">
        <v>110</v>
      </c>
      <c r="H24" t="s">
        <v>15</v>
      </c>
      <c r="I24">
        <v>15000</v>
      </c>
    </row>
    <row r="25" spans="1:17" x14ac:dyDescent="0.25">
      <c r="A25" t="s">
        <v>99</v>
      </c>
      <c r="B25" t="s">
        <v>28</v>
      </c>
      <c r="C25" t="s">
        <v>111</v>
      </c>
      <c r="D25" t="s">
        <v>112</v>
      </c>
      <c r="E25" t="s">
        <v>113</v>
      </c>
      <c r="F25" t="s">
        <v>114</v>
      </c>
      <c r="G25" t="s">
        <v>115</v>
      </c>
      <c r="H25" t="s">
        <v>15</v>
      </c>
      <c r="I25">
        <v>15000</v>
      </c>
    </row>
    <row r="26" spans="1:17" x14ac:dyDescent="0.25">
      <c r="A26" t="s">
        <v>99</v>
      </c>
      <c r="B26" t="s">
        <v>34</v>
      </c>
      <c r="C26" t="s">
        <v>116</v>
      </c>
      <c r="D26" t="s">
        <v>15</v>
      </c>
      <c r="E26" t="s">
        <v>15</v>
      </c>
      <c r="F26" t="s">
        <v>15</v>
      </c>
      <c r="G26" t="s">
        <v>15</v>
      </c>
      <c r="H26" t="s">
        <v>117</v>
      </c>
      <c r="I26">
        <v>183000</v>
      </c>
    </row>
    <row r="27" spans="1:17" x14ac:dyDescent="0.25">
      <c r="A27" t="s">
        <v>118</v>
      </c>
      <c r="B27" t="s">
        <v>9</v>
      </c>
      <c r="C27" t="s">
        <v>119</v>
      </c>
      <c r="D27" t="s">
        <v>120</v>
      </c>
      <c r="E27" t="s">
        <v>121</v>
      </c>
      <c r="F27" t="s">
        <v>122</v>
      </c>
      <c r="G27" t="s">
        <v>123</v>
      </c>
      <c r="H27" t="s">
        <v>15</v>
      </c>
      <c r="I27">
        <v>15000</v>
      </c>
    </row>
    <row r="28" spans="1:17" x14ac:dyDescent="0.25">
      <c r="A28" t="s">
        <v>118</v>
      </c>
      <c r="B28" t="s">
        <v>16</v>
      </c>
      <c r="C28" t="s">
        <v>124</v>
      </c>
      <c r="D28" t="s">
        <v>125</v>
      </c>
      <c r="E28" t="s">
        <v>126</v>
      </c>
      <c r="F28" t="s">
        <v>36</v>
      </c>
      <c r="G28" t="s">
        <v>127</v>
      </c>
      <c r="H28" t="s">
        <v>15</v>
      </c>
      <c r="I28">
        <v>15000</v>
      </c>
    </row>
    <row r="29" spans="1:17" x14ac:dyDescent="0.25">
      <c r="A29" t="s">
        <v>118</v>
      </c>
      <c r="B29" t="s">
        <v>22</v>
      </c>
      <c r="C29" t="s">
        <v>128</v>
      </c>
      <c r="D29" t="s">
        <v>129</v>
      </c>
      <c r="E29" t="s">
        <v>130</v>
      </c>
      <c r="F29" t="s">
        <v>131</v>
      </c>
      <c r="G29" t="s">
        <v>132</v>
      </c>
      <c r="H29" t="s">
        <v>15</v>
      </c>
      <c r="I29">
        <v>15000</v>
      </c>
    </row>
    <row r="30" spans="1:17" x14ac:dyDescent="0.25">
      <c r="A30" t="s">
        <v>118</v>
      </c>
      <c r="B30" t="s">
        <v>28</v>
      </c>
      <c r="C30" t="s">
        <v>35</v>
      </c>
      <c r="D30" t="s">
        <v>133</v>
      </c>
      <c r="E30" t="s">
        <v>134</v>
      </c>
      <c r="F30" t="s">
        <v>135</v>
      </c>
      <c r="G30" t="s">
        <v>136</v>
      </c>
      <c r="H30" t="s">
        <v>15</v>
      </c>
      <c r="I30">
        <v>15000</v>
      </c>
    </row>
    <row r="31" spans="1:17" x14ac:dyDescent="0.25">
      <c r="A31" t="s">
        <v>118</v>
      </c>
      <c r="B31" t="s">
        <v>34</v>
      </c>
      <c r="C31" t="s">
        <v>137</v>
      </c>
      <c r="D31" t="s">
        <v>15</v>
      </c>
      <c r="E31" t="s">
        <v>15</v>
      </c>
      <c r="F31" t="s">
        <v>15</v>
      </c>
      <c r="G31" t="s">
        <v>15</v>
      </c>
      <c r="H31" t="s">
        <v>138</v>
      </c>
      <c r="I31">
        <v>134000</v>
      </c>
    </row>
    <row r="32" spans="1:17" x14ac:dyDescent="0.25">
      <c r="A32" t="s">
        <v>139</v>
      </c>
      <c r="B32" t="s">
        <v>9</v>
      </c>
      <c r="C32" t="s">
        <v>140</v>
      </c>
      <c r="D32" t="s">
        <v>141</v>
      </c>
      <c r="E32" t="s">
        <v>142</v>
      </c>
      <c r="F32" t="s">
        <v>32</v>
      </c>
      <c r="G32" t="s">
        <v>143</v>
      </c>
      <c r="H32" t="s">
        <v>15</v>
      </c>
      <c r="I32">
        <v>15000</v>
      </c>
    </row>
    <row r="33" spans="1:9" x14ac:dyDescent="0.25">
      <c r="A33" t="s">
        <v>139</v>
      </c>
      <c r="B33" t="s">
        <v>16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15</v>
      </c>
      <c r="I33">
        <v>7000</v>
      </c>
    </row>
    <row r="34" spans="1:9" x14ac:dyDescent="0.25">
      <c r="A34" t="s">
        <v>139</v>
      </c>
      <c r="B34" t="s">
        <v>22</v>
      </c>
      <c r="C34" t="s">
        <v>149</v>
      </c>
      <c r="D34" t="s">
        <v>150</v>
      </c>
      <c r="E34" t="s">
        <v>151</v>
      </c>
      <c r="F34" t="s">
        <v>152</v>
      </c>
      <c r="G34" t="s">
        <v>153</v>
      </c>
      <c r="H34" t="s">
        <v>15</v>
      </c>
      <c r="I34">
        <v>15000</v>
      </c>
    </row>
    <row r="35" spans="1:9" x14ac:dyDescent="0.25">
      <c r="A35" t="s">
        <v>139</v>
      </c>
      <c r="B35" t="s">
        <v>28</v>
      </c>
      <c r="C35" t="s">
        <v>154</v>
      </c>
      <c r="D35" t="s">
        <v>155</v>
      </c>
      <c r="E35" t="s">
        <v>134</v>
      </c>
      <c r="F35" t="s">
        <v>156</v>
      </c>
      <c r="G35" t="s">
        <v>157</v>
      </c>
      <c r="H35" t="s">
        <v>15</v>
      </c>
      <c r="I35">
        <v>6000</v>
      </c>
    </row>
    <row r="36" spans="1:9" x14ac:dyDescent="0.25">
      <c r="A36" t="s">
        <v>139</v>
      </c>
      <c r="B36" t="s">
        <v>34</v>
      </c>
      <c r="C36" t="s">
        <v>158</v>
      </c>
      <c r="D36" t="s">
        <v>15</v>
      </c>
      <c r="E36" t="s">
        <v>15</v>
      </c>
      <c r="F36" t="s">
        <v>15</v>
      </c>
      <c r="G36" t="s">
        <v>15</v>
      </c>
      <c r="H36" t="s">
        <v>159</v>
      </c>
      <c r="I36">
        <v>40000</v>
      </c>
    </row>
    <row r="37" spans="1:9" x14ac:dyDescent="0.25">
      <c r="A37" t="s">
        <v>160</v>
      </c>
      <c r="B37" t="s">
        <v>161</v>
      </c>
      <c r="C37" t="s">
        <v>162</v>
      </c>
      <c r="D37" t="s">
        <v>163</v>
      </c>
      <c r="E37" t="s">
        <v>164</v>
      </c>
      <c r="F37" t="s">
        <v>165</v>
      </c>
      <c r="G37" t="s">
        <v>166</v>
      </c>
      <c r="H37" t="s">
        <v>165</v>
      </c>
      <c r="I37">
        <v>8100</v>
      </c>
    </row>
    <row r="38" spans="1:9" x14ac:dyDescent="0.25">
      <c r="A38" t="s">
        <v>167</v>
      </c>
      <c r="B38" t="s">
        <v>161</v>
      </c>
      <c r="C38">
        <v>523</v>
      </c>
      <c r="D38" t="s">
        <v>168</v>
      </c>
      <c r="E38" t="s">
        <v>169</v>
      </c>
      <c r="F38" t="s">
        <v>170</v>
      </c>
      <c r="G38" t="s">
        <v>171</v>
      </c>
      <c r="H38" t="s">
        <v>170</v>
      </c>
      <c r="I38">
        <v>523</v>
      </c>
    </row>
    <row r="39" spans="1:9" x14ac:dyDescent="0.25">
      <c r="A39" t="s">
        <v>172</v>
      </c>
      <c r="B39" t="s">
        <v>161</v>
      </c>
      <c r="C39">
        <v>203</v>
      </c>
      <c r="D39" t="s">
        <v>173</v>
      </c>
      <c r="E39" t="s">
        <v>174</v>
      </c>
      <c r="F39" t="s">
        <v>175</v>
      </c>
      <c r="G39" t="s">
        <v>175</v>
      </c>
      <c r="H39" t="s">
        <v>175</v>
      </c>
      <c r="I39">
        <v>203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371023-5351-4a2c-b274-12e7bf1d72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4DC25A874A6A34FA57A1410CFDC29AE" ma:contentTypeVersion="10" ma:contentTypeDescription="Utwórz nowy dokument." ma:contentTypeScope="" ma:versionID="d2e102214b3071d241a3f49a1e8f5f14">
  <xsd:schema xmlns:xsd="http://www.w3.org/2001/XMLSchema" xmlns:xs="http://www.w3.org/2001/XMLSchema" xmlns:p="http://schemas.microsoft.com/office/2006/metadata/properties" xmlns:ns3="5c371023-5351-4a2c-b274-12e7bf1d720d" targetNamespace="http://schemas.microsoft.com/office/2006/metadata/properties" ma:root="true" ma:fieldsID="391f2fa415d308e115475a881a25dbb9" ns3:_="">
    <xsd:import namespace="5c371023-5351-4a2c-b274-12e7bf1d72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71023-5351-4a2c-b274-12e7bf1d72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E49221-E7C8-41E3-8922-F3E2B4173845}">
  <ds:schemaRefs>
    <ds:schemaRef ds:uri="http://purl.org/dc/dcmitype/"/>
    <ds:schemaRef ds:uri="http://www.w3.org/XML/1998/namespace"/>
    <ds:schemaRef ds:uri="http://purl.org/dc/elements/1.1/"/>
    <ds:schemaRef ds:uri="5c371023-5351-4a2c-b274-12e7bf1d720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BC685B8-DEF0-4295-9DEC-106CE61F28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FEF492-466C-4B24-8828-667CE88459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371023-5351-4a2c-b274-12e7bf1d72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Server_sampling</vt:lpstr>
      <vt:lpstr>EUW</vt:lpstr>
      <vt:lpstr>KR</vt:lpstr>
      <vt:lpstr>NA</vt:lpstr>
      <vt:lpstr>EUNE</vt:lpstr>
      <vt:lpstr>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Piławski</dc:creator>
  <cp:lastModifiedBy>Mateusz Piławski</cp:lastModifiedBy>
  <dcterms:created xsi:type="dcterms:W3CDTF">2026-07-09T14:23:34Z</dcterms:created>
  <dcterms:modified xsi:type="dcterms:W3CDTF">2026-07-09T14:57:43Z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0x01010004DC25A874A6A34FA57A1410CFDC29AE</vt:lpwstr>
  </property>
</Properties>
</file>